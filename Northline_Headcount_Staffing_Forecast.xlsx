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Assumptions" sheetId="2" state="visible" r:id="rId2"/>
    <sheet name="02_Headcount_Plan" sheetId="3" state="visible" r:id="rId3"/>
    <sheet name="03_Cost_Bridge" sheetId="4" state="visible" r:id="rId4"/>
    <sheet name="04_Reforecast" sheetId="5" state="visible" r:id="rId5"/>
    <sheet name="05_Dashboard" sheetId="6" state="visible" r:id="rId6"/>
    <sheet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_($* #,##0_);_($* (#,##0);_($* &quot;-&quot;??_);_(@_)"/>
    <numFmt numFmtId="167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i val="1"/>
      <color rgb="00666666"/>
      <sz val="10"/>
    </font>
    <font>
      <name val="Calibri"/>
      <b val="1"/>
      <sz val="11"/>
    </font>
    <font>
      <name val="Calibri"/>
      <b val="1"/>
      <color rgb="000000FF"/>
      <sz val="11"/>
    </font>
    <font>
      <name val="Calibri"/>
      <color rgb="000563C1"/>
      <sz val="11"/>
      <u val="single"/>
    </font>
    <font>
      <name val="Calibri"/>
      <color rgb="000000FF"/>
      <sz val="11"/>
    </font>
    <font>
      <name val="Calibri"/>
      <color rgb="00000000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i val="1"/>
      <color rgb="001F4E79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6" fillId="0" borderId="0" pivotButton="0" quotePrefix="0" xfId="0"/>
    <xf numFmtId="1" fontId="7" fillId="2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164" fontId="7" fillId="2" borderId="1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10" fillId="4" borderId="1" applyAlignment="1" pivotButton="0" quotePrefix="0" xfId="0">
      <alignment horizontal="center" wrapText="1"/>
    </xf>
    <xf numFmtId="0" fontId="4" fillId="0" borderId="1" pivotButton="0" quotePrefix="0" xfId="0"/>
    <xf numFmtId="165" fontId="7" fillId="2" borderId="1" applyAlignment="1" pivotButton="0" quotePrefix="0" xfId="0">
      <alignment horizontal="center"/>
    </xf>
    <xf numFmtId="166" fontId="7" fillId="2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5" fontId="11" fillId="5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" fontId="11" fillId="5" borderId="1" applyAlignment="1" pivotButton="0" quotePrefix="0" xfId="0">
      <alignment horizontal="center"/>
    </xf>
    <xf numFmtId="0" fontId="0" fillId="0" borderId="1" pivotButton="0" quotePrefix="0" xfId="0"/>
    <xf numFmtId="165" fontId="8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11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0" fillId="4" borderId="0" pivotButton="0" quotePrefix="0" xfId="0"/>
    <xf numFmtId="0" fontId="0" fillId="4" borderId="0" pivotButton="0" quotePrefix="0" xfId="0"/>
    <xf numFmtId="0" fontId="0" fillId="6" borderId="0" pivotButton="0" quotePrefix="0" xfId="0"/>
    <xf numFmtId="164" fontId="11" fillId="5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0" fontId="10" fillId="4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Ending FTE — plan vs latest</a:t>
            </a:r>
          </a:p>
        </rich>
      </tx>
    </title>
    <plotArea>
      <lineChart>
        <grouping val="standard"/>
        <ser>
          <idx val="0"/>
          <order val="0"/>
          <tx>
            <strRef>
              <f>'05_Dashboard'!B12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'05_Dashboard'!$C$11:$N$11</f>
            </numRef>
          </cat>
          <val>
            <numRef>
              <f>'05_Dashboard'!$C$12:$N$12</f>
            </numRef>
          </val>
        </ser>
        <ser>
          <idx val="1"/>
          <order val="1"/>
          <tx>
            <strRef>
              <f>'05_Dashboard'!B13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'05_Dashboard'!$C$11:$N$11</f>
            </numRef>
          </cat>
          <val>
            <numRef>
              <f>'05_Dashboard'!$C$13:$N$13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Monthly loaded cost — plan vs latest ($000s)</a:t>
            </a:r>
          </a:p>
        </rich>
      </tx>
    </title>
    <plotArea>
      <lineChart>
        <grouping val="standard"/>
        <ser>
          <idx val="0"/>
          <order val="0"/>
          <tx>
            <strRef>
              <f>'05_Dashboard'!B14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'05_Dashboard'!$C$11:$N$11</f>
            </numRef>
          </cat>
          <val>
            <numRef>
              <f>'05_Dashboard'!$C$14:$N$14</f>
            </numRef>
          </val>
        </ser>
        <ser>
          <idx val="1"/>
          <order val="1"/>
          <tx>
            <strRef>
              <f>'05_Dashboard'!B15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'05_Dashboard'!$C$11:$N$11</f>
            </numRef>
          </cat>
          <val>
            <numRef>
              <f>'05_Dashboard'!$C$15:$N$15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Year-end FTE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'05_Dashboard'!C35</f>
            </strRef>
          </tx>
          <spPr>
            <a:ln>
              <a:prstDash val="solid"/>
            </a:ln>
          </spPr>
          <cat>
            <numRef>
              <f>'05_Dashboard'!$B$36:$B$43</f>
            </numRef>
          </cat>
          <val>
            <numRef>
              <f>'05_Dashboard'!$C$36:$C$43</f>
            </numRef>
          </val>
        </ser>
        <ser>
          <idx val="1"/>
          <order val="1"/>
          <tx>
            <strRef>
              <f>'05_Dashboard'!D35</f>
            </strRef>
          </tx>
          <spPr>
            <a:ln>
              <a:prstDash val="solid"/>
            </a:ln>
          </spPr>
          <cat>
            <numRef>
              <f>'05_Dashboard'!$B$36:$B$43</f>
            </numRef>
          </cat>
          <val>
            <numRef>
              <f>'05_Dashboard'!$D$36:$D$43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Northline Consumer Products</t>
        </is>
      </c>
    </row>
    <row r="3">
      <c r="B3" s="2" t="inlineStr">
        <is>
          <t>Headcount and staffing forecast  ·  plan, loaded cost, reforecast</t>
        </is>
      </c>
    </row>
    <row r="4">
      <c r="B4" s="3" t="inlineStr">
        <is>
          <t>Mid-size CPG  ·  ops + supply chain + commercial + G&amp;A  ·  ~280–310 FTE  ·  FY2026</t>
        </is>
      </c>
    </row>
    <row r="6">
      <c r="B6" s="4" t="inlineStr">
        <is>
          <t>What this file is</t>
        </is>
      </c>
    </row>
    <row r="7" ht="48" customHeight="1">
      <c r="B7" s="5" t="inlineStr">
        <is>
          <t>A twelve-month headcount plan and reforecast for a fictional CPG company. It rolls opening FTE + hires − exits by department, applies loaded cost and a mid-year merit, and compares the original plan to the latest view (YTD actuals through the as-of month, then forecast).</t>
        </is>
      </c>
    </row>
    <row r="9">
      <c r="B9" s="4" t="inlineStr">
        <is>
          <t>How to use</t>
        </is>
      </c>
    </row>
    <row r="10">
      <c r="B10" t="inlineStr">
        <is>
          <t>1. Edit yellow cells on 01_Assumptions (departments, loaded cost, attrition, raise, as-of month).</t>
        </is>
      </c>
    </row>
    <row r="11">
      <c r="B11" t="inlineStr">
        <is>
          <t>2. Edit plan hires and other exits on 02_Headcount_Plan. Opening, attrition exits, and ending FTE are formulas.</t>
        </is>
      </c>
    </row>
    <row r="12">
      <c r="B12" t="inlineStr">
        <is>
          <t>3. Read the loaded-cost rollforward and plan vs forecast $ on 03_Cost_Bridge.</t>
        </is>
      </c>
    </row>
    <row r="13">
      <c r="B13" t="inlineStr">
        <is>
          <t>4. Edit forecast hires / other exits on 04_Reforecast; compare latest view vs original plan.</t>
        </is>
      </c>
    </row>
    <row r="14">
      <c r="B14" t="inlineStr">
        <is>
          <t>5. Use 05_Dashboard as the one-pager.</t>
        </is>
      </c>
    </row>
    <row r="16">
      <c r="B16" s="4" t="inlineStr">
        <is>
          <t>File conventions</t>
        </is>
      </c>
    </row>
    <row r="17">
      <c r="B17" s="6" t="inlineStr">
        <is>
          <t>Yellow cells with blue font = inputs. Black font = formulas. Green cells = key outputs.</t>
        </is>
      </c>
    </row>
    <row r="18">
      <c r="B18" t="inlineStr">
        <is>
          <t>All figures are fictional. There is no employer data in this file. Cost in $000s. FTE in heads (one decimal).</t>
        </is>
      </c>
    </row>
    <row r="20">
      <c r="B20" s="4" t="inlineStr">
        <is>
          <t>Portfolio</t>
        </is>
      </c>
    </row>
    <row r="21">
      <c r="B21" t="inlineStr">
        <is>
          <t>Sai Siri Bandaru — Financial Analyst | FP&amp;A | forecasting, variance analysis, Excel</t>
        </is>
      </c>
    </row>
    <row r="22">
      <c r="B22" s="7" t="inlineStr">
        <is>
          <t>https://github.com/saisiri-bandaru</t>
        </is>
      </c>
    </row>
  </sheetData>
  <pageMargins left="0.75" right="0.75" top="1" bottom="1" header="0.5" footer="0.5"/>
  <pageSetup orientation="landscape" paperSize="3" fitToHeight="1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7C948"/>
    <outlinePr summaryBelow="1" summaryRight="1"/>
    <pageSetUpPr fitToPage="1"/>
  </sheetPr>
  <dimension ref="B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4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</cols>
  <sheetData>
    <row r="2">
      <c r="B2" s="1" t="inlineStr">
        <is>
          <t>Assumptions</t>
        </is>
      </c>
    </row>
    <row r="3">
      <c r="B3" s="3" t="inlineStr">
        <is>
          <t>Yellow + blue = inputs. Change these; plan, cost, reforecast, and dashboard recalculate.</t>
        </is>
      </c>
    </row>
    <row r="5">
      <c r="B5" t="inlineStr">
        <is>
          <t>As-of / toggle month (1 = Jan … 12 = Dec)</t>
        </is>
      </c>
      <c r="C5" s="8" t="n">
        <v>6</v>
      </c>
      <c r="D5" s="9">
        <f>INDEX({"Jan-26","Feb-26","Mar-26","Apr-26","May-26","Jun-26","Jul-26","Aug-26","Sep-26","Oct-26","Nov-26","Dec-26"},1,C5)</f>
        <v/>
      </c>
      <c r="E5" s="10" t="inlineStr">
        <is>
          <t>Months ≤ as-of on the reforecast are YTD actuals; months after are forecast.</t>
        </is>
      </c>
    </row>
    <row r="6">
      <c r="B6" t="inlineStr">
        <is>
          <t>Merit / raise %</t>
        </is>
      </c>
      <c r="C6" s="11" t="n">
        <v>0.035</v>
      </c>
    </row>
    <row r="7">
      <c r="B7" t="inlineStr">
        <is>
          <t>Raise effective month (1–12)</t>
        </is>
      </c>
      <c r="C7" s="8" t="n">
        <v>4</v>
      </c>
      <c r="D7" s="10" t="inlineStr">
        <is>
          <t>April — loaded cost steps up from this month.</t>
        </is>
      </c>
    </row>
    <row r="8">
      <c r="B8" t="inlineStr">
        <is>
          <t>Hire lead time (months)</t>
        </is>
      </c>
      <c r="C8" s="8" t="n">
        <v>2</v>
      </c>
      <c r="D8" s="10" t="inlineStr">
        <is>
          <t>Hires are recorded in the start month (already net of lead time). Open reqs are the pipeline.</t>
        </is>
      </c>
    </row>
    <row r="10">
      <c r="B10" s="12" t="inlineStr">
        <is>
          <t>Department drivers</t>
        </is>
      </c>
      <c r="C10" s="13" t="n"/>
      <c r="D10" s="13" t="n"/>
      <c r="E10" s="13" t="n"/>
      <c r="F10" s="13" t="n"/>
      <c r="G10" s="13" t="n"/>
    </row>
    <row r="11">
      <c r="B11" s="14" t="inlineStr">
        <is>
          <t>Department</t>
        </is>
      </c>
      <c r="C11" s="14" t="inlineStr">
        <is>
          <t>Opening FTE</t>
        </is>
      </c>
      <c r="D11" s="14" t="inlineStr">
        <is>
          <t>Annual loaded cost ($000s)</t>
        </is>
      </c>
      <c r="E11" s="14" t="inlineStr">
        <is>
          <t>Annual attrition %</t>
        </is>
      </c>
      <c r="F11" s="14" t="inlineStr">
        <is>
          <t>Monthly attrition %</t>
        </is>
      </c>
      <c r="G11" s="14" t="inlineStr">
        <is>
          <t>Open reqs (pipeline)</t>
        </is>
      </c>
    </row>
    <row r="12">
      <c r="B12" s="15" t="inlineStr">
        <is>
          <t>Operations</t>
        </is>
      </c>
      <c r="C12" s="16" t="n">
        <v>120</v>
      </c>
      <c r="D12" s="17" t="n">
        <v>72</v>
      </c>
      <c r="E12" s="11" t="n">
        <v>0.14</v>
      </c>
      <c r="F12" s="18">
        <f>E12/12</f>
        <v/>
      </c>
      <c r="G12" s="8" t="n">
        <v>4</v>
      </c>
    </row>
    <row r="13">
      <c r="B13" s="15" t="inlineStr">
        <is>
          <t>Supply Chain</t>
        </is>
      </c>
      <c r="C13" s="16" t="n">
        <v>48</v>
      </c>
      <c r="D13" s="17" t="n">
        <v>78</v>
      </c>
      <c r="E13" s="11" t="n">
        <v>0.12</v>
      </c>
      <c r="F13" s="18">
        <f>E13/12</f>
        <v/>
      </c>
      <c r="G13" s="8" t="n">
        <v>2</v>
      </c>
    </row>
    <row r="14">
      <c r="B14" s="15" t="inlineStr">
        <is>
          <t>Sales</t>
        </is>
      </c>
      <c r="C14" s="16" t="n">
        <v>40</v>
      </c>
      <c r="D14" s="17" t="n">
        <v>128</v>
      </c>
      <c r="E14" s="11" t="n">
        <v>0.16</v>
      </c>
      <c r="F14" s="18">
        <f>E14/12</f>
        <v/>
      </c>
      <c r="G14" s="8" t="n">
        <v>3</v>
      </c>
    </row>
    <row r="15">
      <c r="B15" s="15" t="inlineStr">
        <is>
          <t>Marketing</t>
        </is>
      </c>
      <c r="C15" s="16" t="n">
        <v>18</v>
      </c>
      <c r="D15" s="17" t="n">
        <v>112</v>
      </c>
      <c r="E15" s="11" t="n">
        <v>0.11</v>
      </c>
      <c r="F15" s="18">
        <f>E15/12</f>
        <v/>
      </c>
      <c r="G15" s="8" t="n">
        <v>1</v>
      </c>
    </row>
    <row r="16">
      <c r="B16" s="15" t="inlineStr">
        <is>
          <t>Finance</t>
        </is>
      </c>
      <c r="C16" s="16" t="n">
        <v>16</v>
      </c>
      <c r="D16" s="17" t="n">
        <v>118</v>
      </c>
      <c r="E16" s="11" t="n">
        <v>0.08</v>
      </c>
      <c r="F16" s="18">
        <f>E16/12</f>
        <v/>
      </c>
      <c r="G16" s="8" t="n">
        <v>1</v>
      </c>
    </row>
    <row r="17">
      <c r="B17" s="15" t="inlineStr">
        <is>
          <t>HR</t>
        </is>
      </c>
      <c r="C17" s="16" t="n">
        <v>8</v>
      </c>
      <c r="D17" s="17" t="n">
        <v>96</v>
      </c>
      <c r="E17" s="11" t="n">
        <v>0.1</v>
      </c>
      <c r="F17" s="18">
        <f>E17/12</f>
        <v/>
      </c>
      <c r="G17" s="8" t="n">
        <v>0</v>
      </c>
    </row>
    <row r="18">
      <c r="B18" s="15" t="inlineStr">
        <is>
          <t>Quality / R&amp;D</t>
        </is>
      </c>
      <c r="C18" s="16" t="n">
        <v>22</v>
      </c>
      <c r="D18" s="17" t="n">
        <v>90</v>
      </c>
      <c r="E18" s="11" t="n">
        <v>0.09</v>
      </c>
      <c r="F18" s="18">
        <f>E18/12</f>
        <v/>
      </c>
      <c r="G18" s="8" t="n">
        <v>1</v>
      </c>
    </row>
    <row r="19">
      <c r="B19" s="15" t="inlineStr">
        <is>
          <t>G&amp;A / IT</t>
        </is>
      </c>
      <c r="C19" s="16" t="n">
        <v>14</v>
      </c>
      <c r="D19" s="17" t="n">
        <v>108</v>
      </c>
      <c r="E19" s="11" t="n">
        <v>0.07000000000000001</v>
      </c>
      <c r="F19" s="18">
        <f>E19/12</f>
        <v/>
      </c>
      <c r="G19" s="8" t="n">
        <v>1</v>
      </c>
    </row>
    <row r="20">
      <c r="B20" s="4" t="inlineStr">
        <is>
          <t>Total</t>
        </is>
      </c>
      <c r="C20" s="19">
        <f>SUM(C12:C19)</f>
        <v/>
      </c>
      <c r="D20" s="20">
        <f>SUMPRODUCT(C12:C19,D12:D19)/C20</f>
        <v/>
      </c>
      <c r="E20" s="18">
        <f>SUMPRODUCT(C12:C19,E12:E19)/C20</f>
        <v/>
      </c>
      <c r="F20" s="18">
        <f>E20/12</f>
        <v/>
      </c>
      <c r="G20" s="21">
        <f>SUM(G12:G19)</f>
        <v/>
      </c>
    </row>
    <row r="22">
      <c r="B22" s="10" t="inlineStr">
        <is>
          <t>Loaded cost is fully loaded (salary + benefits + taxes + typical bonus). Plant roles sit below corporate / sales.</t>
        </is>
      </c>
    </row>
    <row r="23">
      <c r="B23" s="10" t="inlineStr">
        <is>
          <t>Monthly attrition used in the plan = annual attrition ÷ 12 (straight-line). Ending FTE is allowed to be fractional for planning.</t>
        </is>
      </c>
    </row>
    <row r="24">
      <c r="B24" t="inlineStr">
        <is>
          <t>Company-wide average loaded cost (opening mix)</t>
        </is>
      </c>
      <c r="C24" s="20">
        <f>D20</f>
        <v/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2:O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Headcount plan (original)</t>
        </is>
      </c>
    </row>
    <row r="3">
      <c r="B3" s="3" t="inlineStr">
        <is>
          <t>Hires and other exits are inputs. Opening FTE, attrition exits, total exits, and ending FTE are formulas.</t>
        </is>
      </c>
    </row>
    <row r="6">
      <c r="B6" s="12" t="inlineStr">
        <is>
          <t>Opening FTE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>
      <c r="C7" s="14" t="inlineStr">
        <is>
          <t>Jan-26</t>
        </is>
      </c>
      <c r="D7" s="14" t="inlineStr">
        <is>
          <t>Feb-26</t>
        </is>
      </c>
      <c r="E7" s="14" t="inlineStr">
        <is>
          <t>Mar-26</t>
        </is>
      </c>
      <c r="F7" s="14" t="inlineStr">
        <is>
          <t>Apr-26</t>
        </is>
      </c>
      <c r="G7" s="14" t="inlineStr">
        <is>
          <t>May-26</t>
        </is>
      </c>
      <c r="H7" s="14" t="inlineStr">
        <is>
          <t>Jun-26</t>
        </is>
      </c>
      <c r="I7" s="14" t="inlineStr">
        <is>
          <t>Jul-26</t>
        </is>
      </c>
      <c r="J7" s="14" t="inlineStr">
        <is>
          <t>Aug-26</t>
        </is>
      </c>
      <c r="K7" s="14" t="inlineStr">
        <is>
          <t>Sep-26</t>
        </is>
      </c>
      <c r="L7" s="14" t="inlineStr">
        <is>
          <t>Oct-26</t>
        </is>
      </c>
      <c r="M7" s="14" t="inlineStr">
        <is>
          <t>Nov-26</t>
        </is>
      </c>
      <c r="N7" s="14" t="inlineStr">
        <is>
          <t>Dec-26</t>
        </is>
      </c>
      <c r="O7" s="14" t="inlineStr">
        <is>
          <t>FY26</t>
        </is>
      </c>
    </row>
    <row r="8">
      <c r="B8" s="22" t="inlineStr">
        <is>
          <t>Operations</t>
        </is>
      </c>
      <c r="C8" s="23">
        <f>'01_Assumptions'!C12</f>
        <v/>
      </c>
      <c r="D8" s="23">
        <f>C68</f>
        <v/>
      </c>
      <c r="E8" s="23">
        <f>D68</f>
        <v/>
      </c>
      <c r="F8" s="23">
        <f>E68</f>
        <v/>
      </c>
      <c r="G8" s="23">
        <f>F68</f>
        <v/>
      </c>
      <c r="H8" s="23">
        <f>G68</f>
        <v/>
      </c>
      <c r="I8" s="23">
        <f>H68</f>
        <v/>
      </c>
      <c r="J8" s="23">
        <f>I68</f>
        <v/>
      </c>
      <c r="K8" s="23">
        <f>J68</f>
        <v/>
      </c>
      <c r="L8" s="23">
        <f>K68</f>
        <v/>
      </c>
      <c r="M8" s="23">
        <f>L68</f>
        <v/>
      </c>
      <c r="N8" s="23">
        <f>M68</f>
        <v/>
      </c>
      <c r="O8" s="23">
        <f>C8</f>
        <v/>
      </c>
    </row>
    <row r="9">
      <c r="B9" s="22" t="inlineStr">
        <is>
          <t>Supply Chain</t>
        </is>
      </c>
      <c r="C9" s="23">
        <f>'01_Assumptions'!C13</f>
        <v/>
      </c>
      <c r="D9" s="23">
        <f>C69</f>
        <v/>
      </c>
      <c r="E9" s="23">
        <f>D69</f>
        <v/>
      </c>
      <c r="F9" s="23">
        <f>E69</f>
        <v/>
      </c>
      <c r="G9" s="23">
        <f>F69</f>
        <v/>
      </c>
      <c r="H9" s="23">
        <f>G69</f>
        <v/>
      </c>
      <c r="I9" s="23">
        <f>H69</f>
        <v/>
      </c>
      <c r="J9" s="23">
        <f>I69</f>
        <v/>
      </c>
      <c r="K9" s="23">
        <f>J69</f>
        <v/>
      </c>
      <c r="L9" s="23">
        <f>K69</f>
        <v/>
      </c>
      <c r="M9" s="23">
        <f>L69</f>
        <v/>
      </c>
      <c r="N9" s="23">
        <f>M69</f>
        <v/>
      </c>
      <c r="O9" s="23">
        <f>C9</f>
        <v/>
      </c>
    </row>
    <row r="10">
      <c r="B10" s="22" t="inlineStr">
        <is>
          <t>Sales</t>
        </is>
      </c>
      <c r="C10" s="23">
        <f>'01_Assumptions'!C14</f>
        <v/>
      </c>
      <c r="D10" s="23">
        <f>C70</f>
        <v/>
      </c>
      <c r="E10" s="23">
        <f>D70</f>
        <v/>
      </c>
      <c r="F10" s="23">
        <f>E70</f>
        <v/>
      </c>
      <c r="G10" s="23">
        <f>F70</f>
        <v/>
      </c>
      <c r="H10" s="23">
        <f>G70</f>
        <v/>
      </c>
      <c r="I10" s="23">
        <f>H70</f>
        <v/>
      </c>
      <c r="J10" s="23">
        <f>I70</f>
        <v/>
      </c>
      <c r="K10" s="23">
        <f>J70</f>
        <v/>
      </c>
      <c r="L10" s="23">
        <f>K70</f>
        <v/>
      </c>
      <c r="M10" s="23">
        <f>L70</f>
        <v/>
      </c>
      <c r="N10" s="23">
        <f>M70</f>
        <v/>
      </c>
      <c r="O10" s="23">
        <f>C10</f>
        <v/>
      </c>
    </row>
    <row r="11">
      <c r="B11" s="22" t="inlineStr">
        <is>
          <t>Marketing</t>
        </is>
      </c>
      <c r="C11" s="23">
        <f>'01_Assumptions'!C15</f>
        <v/>
      </c>
      <c r="D11" s="23">
        <f>C71</f>
        <v/>
      </c>
      <c r="E11" s="23">
        <f>D71</f>
        <v/>
      </c>
      <c r="F11" s="23">
        <f>E71</f>
        <v/>
      </c>
      <c r="G11" s="23">
        <f>F71</f>
        <v/>
      </c>
      <c r="H11" s="23">
        <f>G71</f>
        <v/>
      </c>
      <c r="I11" s="23">
        <f>H71</f>
        <v/>
      </c>
      <c r="J11" s="23">
        <f>I71</f>
        <v/>
      </c>
      <c r="K11" s="23">
        <f>J71</f>
        <v/>
      </c>
      <c r="L11" s="23">
        <f>K71</f>
        <v/>
      </c>
      <c r="M11" s="23">
        <f>L71</f>
        <v/>
      </c>
      <c r="N11" s="23">
        <f>M71</f>
        <v/>
      </c>
      <c r="O11" s="23">
        <f>C11</f>
        <v/>
      </c>
    </row>
    <row r="12">
      <c r="B12" s="22" t="inlineStr">
        <is>
          <t>Finance</t>
        </is>
      </c>
      <c r="C12" s="23">
        <f>'01_Assumptions'!C16</f>
        <v/>
      </c>
      <c r="D12" s="23">
        <f>C72</f>
        <v/>
      </c>
      <c r="E12" s="23">
        <f>D72</f>
        <v/>
      </c>
      <c r="F12" s="23">
        <f>E72</f>
        <v/>
      </c>
      <c r="G12" s="23">
        <f>F72</f>
        <v/>
      </c>
      <c r="H12" s="23">
        <f>G72</f>
        <v/>
      </c>
      <c r="I12" s="23">
        <f>H72</f>
        <v/>
      </c>
      <c r="J12" s="23">
        <f>I72</f>
        <v/>
      </c>
      <c r="K12" s="23">
        <f>J72</f>
        <v/>
      </c>
      <c r="L12" s="23">
        <f>K72</f>
        <v/>
      </c>
      <c r="M12" s="23">
        <f>L72</f>
        <v/>
      </c>
      <c r="N12" s="23">
        <f>M72</f>
        <v/>
      </c>
      <c r="O12" s="23">
        <f>C12</f>
        <v/>
      </c>
    </row>
    <row r="13">
      <c r="B13" s="22" t="inlineStr">
        <is>
          <t>HR</t>
        </is>
      </c>
      <c r="C13" s="23">
        <f>'01_Assumptions'!C17</f>
        <v/>
      </c>
      <c r="D13" s="23">
        <f>C73</f>
        <v/>
      </c>
      <c r="E13" s="23">
        <f>D73</f>
        <v/>
      </c>
      <c r="F13" s="23">
        <f>E73</f>
        <v/>
      </c>
      <c r="G13" s="23">
        <f>F73</f>
        <v/>
      </c>
      <c r="H13" s="23">
        <f>G73</f>
        <v/>
      </c>
      <c r="I13" s="23">
        <f>H73</f>
        <v/>
      </c>
      <c r="J13" s="23">
        <f>I73</f>
        <v/>
      </c>
      <c r="K13" s="23">
        <f>J73</f>
        <v/>
      </c>
      <c r="L13" s="23">
        <f>K73</f>
        <v/>
      </c>
      <c r="M13" s="23">
        <f>L73</f>
        <v/>
      </c>
      <c r="N13" s="23">
        <f>M73</f>
        <v/>
      </c>
      <c r="O13" s="23">
        <f>C13</f>
        <v/>
      </c>
    </row>
    <row r="14">
      <c r="B14" s="22" t="inlineStr">
        <is>
          <t>Quality / R&amp;D</t>
        </is>
      </c>
      <c r="C14" s="23">
        <f>'01_Assumptions'!C18</f>
        <v/>
      </c>
      <c r="D14" s="23">
        <f>C74</f>
        <v/>
      </c>
      <c r="E14" s="23">
        <f>D74</f>
        <v/>
      </c>
      <c r="F14" s="23">
        <f>E74</f>
        <v/>
      </c>
      <c r="G14" s="23">
        <f>F74</f>
        <v/>
      </c>
      <c r="H14" s="23">
        <f>G74</f>
        <v/>
      </c>
      <c r="I14" s="23">
        <f>H74</f>
        <v/>
      </c>
      <c r="J14" s="23">
        <f>I74</f>
        <v/>
      </c>
      <c r="K14" s="23">
        <f>J74</f>
        <v/>
      </c>
      <c r="L14" s="23">
        <f>K74</f>
        <v/>
      </c>
      <c r="M14" s="23">
        <f>L74</f>
        <v/>
      </c>
      <c r="N14" s="23">
        <f>M74</f>
        <v/>
      </c>
      <c r="O14" s="23">
        <f>C14</f>
        <v/>
      </c>
    </row>
    <row r="15">
      <c r="B15" s="22" t="inlineStr">
        <is>
          <t>G&amp;A / IT</t>
        </is>
      </c>
      <c r="C15" s="23">
        <f>'01_Assumptions'!C19</f>
        <v/>
      </c>
      <c r="D15" s="23">
        <f>C75</f>
        <v/>
      </c>
      <c r="E15" s="23">
        <f>D75</f>
        <v/>
      </c>
      <c r="F15" s="23">
        <f>E75</f>
        <v/>
      </c>
      <c r="G15" s="23">
        <f>F75</f>
        <v/>
      </c>
      <c r="H15" s="23">
        <f>G75</f>
        <v/>
      </c>
      <c r="I15" s="23">
        <f>H75</f>
        <v/>
      </c>
      <c r="J15" s="23">
        <f>I75</f>
        <v/>
      </c>
      <c r="K15" s="23">
        <f>J75</f>
        <v/>
      </c>
      <c r="L15" s="23">
        <f>K75</f>
        <v/>
      </c>
      <c r="M15" s="23">
        <f>L75</f>
        <v/>
      </c>
      <c r="N15" s="23">
        <f>M75</f>
        <v/>
      </c>
      <c r="O15" s="23">
        <f>C15</f>
        <v/>
      </c>
    </row>
    <row r="16">
      <c r="B16" s="15" t="inlineStr">
        <is>
          <t>Total</t>
        </is>
      </c>
      <c r="C16" s="19">
        <f>SUM(C8:C15)</f>
        <v/>
      </c>
      <c r="D16" s="19">
        <f>SUM(D8:D15)</f>
        <v/>
      </c>
      <c r="E16" s="19">
        <f>SUM(E8:E15)</f>
        <v/>
      </c>
      <c r="F16" s="19">
        <f>SUM(F8:F15)</f>
        <v/>
      </c>
      <c r="G16" s="19">
        <f>SUM(G8:G15)</f>
        <v/>
      </c>
      <c r="H16" s="19">
        <f>SUM(H8:H15)</f>
        <v/>
      </c>
      <c r="I16" s="19">
        <f>SUM(I8:I15)</f>
        <v/>
      </c>
      <c r="J16" s="19">
        <f>SUM(J8:J15)</f>
        <v/>
      </c>
      <c r="K16" s="19">
        <f>SUM(K8:K15)</f>
        <v/>
      </c>
      <c r="L16" s="19">
        <f>SUM(L8:L15)</f>
        <v/>
      </c>
      <c r="M16" s="19">
        <f>SUM(M8:M15)</f>
        <v/>
      </c>
      <c r="N16" s="19">
        <f>SUM(N8:N15)</f>
        <v/>
      </c>
      <c r="O16" s="19">
        <f>SUM(O8:O15)</f>
        <v/>
      </c>
    </row>
    <row r="18">
      <c r="B18" s="12" t="inlineStr">
        <is>
          <t>Hires (starts) — input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C19" s="14" t="inlineStr">
        <is>
          <t>Jan-26</t>
        </is>
      </c>
      <c r="D19" s="14" t="inlineStr">
        <is>
          <t>Feb-26</t>
        </is>
      </c>
      <c r="E19" s="14" t="inlineStr">
        <is>
          <t>Mar-26</t>
        </is>
      </c>
      <c r="F19" s="14" t="inlineStr">
        <is>
          <t>Apr-26</t>
        </is>
      </c>
      <c r="G19" s="14" t="inlineStr">
        <is>
          <t>May-26</t>
        </is>
      </c>
      <c r="H19" s="14" t="inlineStr">
        <is>
          <t>Jun-26</t>
        </is>
      </c>
      <c r="I19" s="14" t="inlineStr">
        <is>
          <t>Jul-26</t>
        </is>
      </c>
      <c r="J19" s="14" t="inlineStr">
        <is>
          <t>Aug-26</t>
        </is>
      </c>
      <c r="K19" s="14" t="inlineStr">
        <is>
          <t>Sep-26</t>
        </is>
      </c>
      <c r="L19" s="14" t="inlineStr">
        <is>
          <t>Oct-26</t>
        </is>
      </c>
      <c r="M19" s="14" t="inlineStr">
        <is>
          <t>Nov-26</t>
        </is>
      </c>
      <c r="N19" s="14" t="inlineStr">
        <is>
          <t>Dec-26</t>
        </is>
      </c>
      <c r="O19" s="14" t="inlineStr">
        <is>
          <t>FY26</t>
        </is>
      </c>
    </row>
    <row r="20">
      <c r="B20" s="22" t="inlineStr">
        <is>
          <t>Operations</t>
        </is>
      </c>
      <c r="C20" s="16" t="n">
        <v>2</v>
      </c>
      <c r="D20" s="16" t="n">
        <v>1</v>
      </c>
      <c r="E20" s="16" t="n">
        <v>2</v>
      </c>
      <c r="F20" s="16" t="n">
        <v>1</v>
      </c>
      <c r="G20" s="16" t="n">
        <v>2</v>
      </c>
      <c r="H20" s="16" t="n">
        <v>2</v>
      </c>
      <c r="I20" s="16" t="n">
        <v>3</v>
      </c>
      <c r="J20" s="16" t="n">
        <v>2</v>
      </c>
      <c r="K20" s="16" t="n">
        <v>1</v>
      </c>
      <c r="L20" s="16" t="n">
        <v>2</v>
      </c>
      <c r="M20" s="16" t="n">
        <v>1</v>
      </c>
      <c r="N20" s="16" t="n">
        <v>1</v>
      </c>
      <c r="O20" s="23">
        <f>SUM(C20:N20)</f>
        <v/>
      </c>
    </row>
    <row r="21">
      <c r="B21" s="22" t="inlineStr">
        <is>
          <t>Supply Chain</t>
        </is>
      </c>
      <c r="C21" s="16" t="n">
        <v>1</v>
      </c>
      <c r="D21" s="16" t="n">
        <v>0</v>
      </c>
      <c r="E21" s="16" t="n">
        <v>1</v>
      </c>
      <c r="F21" s="16" t="n">
        <v>1</v>
      </c>
      <c r="G21" s="16" t="n">
        <v>0</v>
      </c>
      <c r="H21" s="16" t="n">
        <v>1</v>
      </c>
      <c r="I21" s="16" t="n">
        <v>1</v>
      </c>
      <c r="J21" s="16" t="n">
        <v>1</v>
      </c>
      <c r="K21" s="16" t="n">
        <v>0</v>
      </c>
      <c r="L21" s="16" t="n">
        <v>1</v>
      </c>
      <c r="M21" s="16" t="n">
        <v>1</v>
      </c>
      <c r="N21" s="16" t="n">
        <v>0</v>
      </c>
      <c r="O21" s="23">
        <f>SUM(C21:N21)</f>
        <v/>
      </c>
    </row>
    <row r="22">
      <c r="B22" s="22" t="inlineStr">
        <is>
          <t>Sales</t>
        </is>
      </c>
      <c r="C22" s="16" t="n">
        <v>1</v>
      </c>
      <c r="D22" s="16" t="n">
        <v>1</v>
      </c>
      <c r="E22" s="16" t="n">
        <v>0</v>
      </c>
      <c r="F22" s="16" t="n">
        <v>1</v>
      </c>
      <c r="G22" s="16" t="n">
        <v>1</v>
      </c>
      <c r="H22" s="16" t="n">
        <v>0</v>
      </c>
      <c r="I22" s="16" t="n">
        <v>1</v>
      </c>
      <c r="J22" s="16" t="n">
        <v>0</v>
      </c>
      <c r="K22" s="16" t="n">
        <v>1</v>
      </c>
      <c r="L22" s="16" t="n">
        <v>2</v>
      </c>
      <c r="M22" s="16" t="n">
        <v>0</v>
      </c>
      <c r="N22" s="16" t="n">
        <v>1</v>
      </c>
      <c r="O22" s="23">
        <f>SUM(C22:N22)</f>
        <v/>
      </c>
    </row>
    <row r="23">
      <c r="B23" s="22" t="inlineStr">
        <is>
          <t>Marketing</t>
        </is>
      </c>
      <c r="C23" s="16" t="n">
        <v>0</v>
      </c>
      <c r="D23" s="16" t="n">
        <v>1</v>
      </c>
      <c r="E23" s="16" t="n">
        <v>0</v>
      </c>
      <c r="F23" s="16" t="n">
        <v>0</v>
      </c>
      <c r="G23" s="16" t="n">
        <v>1</v>
      </c>
      <c r="H23" s="16" t="n">
        <v>0</v>
      </c>
      <c r="I23" s="16" t="n">
        <v>0</v>
      </c>
      <c r="J23" s="16" t="n">
        <v>1</v>
      </c>
      <c r="K23" s="16" t="n">
        <v>0</v>
      </c>
      <c r="L23" s="16" t="n">
        <v>0</v>
      </c>
      <c r="M23" s="16" t="n">
        <v>0</v>
      </c>
      <c r="N23" s="16" t="n">
        <v>0</v>
      </c>
      <c r="O23" s="23">
        <f>SUM(C23:N23)</f>
        <v/>
      </c>
    </row>
    <row r="24">
      <c r="B24" s="22" t="inlineStr">
        <is>
          <t>Finance</t>
        </is>
      </c>
      <c r="C24" s="16" t="n">
        <v>0</v>
      </c>
      <c r="D24" s="16" t="n">
        <v>0</v>
      </c>
      <c r="E24" s="16" t="n">
        <v>1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1</v>
      </c>
      <c r="K24" s="16" t="n">
        <v>0</v>
      </c>
      <c r="L24" s="16" t="n">
        <v>0</v>
      </c>
      <c r="M24" s="16" t="n">
        <v>0</v>
      </c>
      <c r="N24" s="16" t="n">
        <v>0</v>
      </c>
      <c r="O24" s="23">
        <f>SUM(C24:N24)</f>
        <v/>
      </c>
    </row>
    <row r="25">
      <c r="B25" s="22" t="inlineStr">
        <is>
          <t>HR</t>
        </is>
      </c>
      <c r="C25" s="16" t="n">
        <v>0</v>
      </c>
      <c r="D25" s="16" t="n">
        <v>0</v>
      </c>
      <c r="E25" s="16" t="n">
        <v>0</v>
      </c>
      <c r="F25" s="16" t="n">
        <v>1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23">
        <f>SUM(C25:N25)</f>
        <v/>
      </c>
    </row>
    <row r="26">
      <c r="B26" s="22" t="inlineStr">
        <is>
          <t>Quality / R&amp;D</t>
        </is>
      </c>
      <c r="C26" s="16" t="n">
        <v>0</v>
      </c>
      <c r="D26" s="16" t="n">
        <v>1</v>
      </c>
      <c r="E26" s="16" t="n">
        <v>0</v>
      </c>
      <c r="F26" s="16" t="n">
        <v>0</v>
      </c>
      <c r="G26" s="16" t="n">
        <v>1</v>
      </c>
      <c r="H26" s="16" t="n">
        <v>0</v>
      </c>
      <c r="I26" s="16" t="n">
        <v>1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23">
        <f>SUM(C26:N26)</f>
        <v/>
      </c>
    </row>
    <row r="27">
      <c r="B27" s="22" t="inlineStr">
        <is>
          <t>G&amp;A / IT</t>
        </is>
      </c>
      <c r="C27" s="16" t="n">
        <v>0</v>
      </c>
      <c r="D27" s="16" t="n">
        <v>0</v>
      </c>
      <c r="E27" s="16" t="n">
        <v>0</v>
      </c>
      <c r="F27" s="16" t="n">
        <v>1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1</v>
      </c>
      <c r="M27" s="16" t="n">
        <v>0</v>
      </c>
      <c r="N27" s="16" t="n">
        <v>0</v>
      </c>
      <c r="O27" s="23">
        <f>SUM(C27:N27)</f>
        <v/>
      </c>
    </row>
    <row r="28">
      <c r="B28" s="15" t="inlineStr">
        <is>
          <t>Total</t>
        </is>
      </c>
      <c r="C28" s="19">
        <f>SUM(C20:C27)</f>
        <v/>
      </c>
      <c r="D28" s="19">
        <f>SUM(D20:D27)</f>
        <v/>
      </c>
      <c r="E28" s="19">
        <f>SUM(E20:E27)</f>
        <v/>
      </c>
      <c r="F28" s="19">
        <f>SUM(F20:F27)</f>
        <v/>
      </c>
      <c r="G28" s="19">
        <f>SUM(G20:G27)</f>
        <v/>
      </c>
      <c r="H28" s="19">
        <f>SUM(H20:H27)</f>
        <v/>
      </c>
      <c r="I28" s="19">
        <f>SUM(I20:I27)</f>
        <v/>
      </c>
      <c r="J28" s="19">
        <f>SUM(J20:J27)</f>
        <v/>
      </c>
      <c r="K28" s="19">
        <f>SUM(K20:K27)</f>
        <v/>
      </c>
      <c r="L28" s="19">
        <f>SUM(L20:L27)</f>
        <v/>
      </c>
      <c r="M28" s="19">
        <f>SUM(M20:M27)</f>
        <v/>
      </c>
      <c r="N28" s="19">
        <f>SUM(N20:N27)</f>
        <v/>
      </c>
      <c r="O28" s="19">
        <f>SUM(O20:O27)</f>
        <v/>
      </c>
    </row>
    <row r="30">
      <c r="B30" s="12" t="inlineStr">
        <is>
          <t>Modeled attrition exits  = ROUND(opening × monthly attrition, 1)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>
      <c r="C31" s="14" t="inlineStr">
        <is>
          <t>Jan-26</t>
        </is>
      </c>
      <c r="D31" s="14" t="inlineStr">
        <is>
          <t>Feb-26</t>
        </is>
      </c>
      <c r="E31" s="14" t="inlineStr">
        <is>
          <t>Mar-26</t>
        </is>
      </c>
      <c r="F31" s="14" t="inlineStr">
        <is>
          <t>Apr-26</t>
        </is>
      </c>
      <c r="G31" s="14" t="inlineStr">
        <is>
          <t>May-26</t>
        </is>
      </c>
      <c r="H31" s="14" t="inlineStr">
        <is>
          <t>Jun-26</t>
        </is>
      </c>
      <c r="I31" s="14" t="inlineStr">
        <is>
          <t>Jul-26</t>
        </is>
      </c>
      <c r="J31" s="14" t="inlineStr">
        <is>
          <t>Aug-26</t>
        </is>
      </c>
      <c r="K31" s="14" t="inlineStr">
        <is>
          <t>Sep-26</t>
        </is>
      </c>
      <c r="L31" s="14" t="inlineStr">
        <is>
          <t>Oct-26</t>
        </is>
      </c>
      <c r="M31" s="14" t="inlineStr">
        <is>
          <t>Nov-26</t>
        </is>
      </c>
      <c r="N31" s="14" t="inlineStr">
        <is>
          <t>Dec-26</t>
        </is>
      </c>
      <c r="O31" s="14" t="inlineStr">
        <is>
          <t>FY26</t>
        </is>
      </c>
    </row>
    <row r="32">
      <c r="B32" s="22" t="inlineStr">
        <is>
          <t>Operations</t>
        </is>
      </c>
      <c r="C32" s="23">
        <f>ROUND(C8*'01_Assumptions'!$F$12,1)</f>
        <v/>
      </c>
      <c r="D32" s="23">
        <f>ROUND(D8*'01_Assumptions'!$F$12,1)</f>
        <v/>
      </c>
      <c r="E32" s="23">
        <f>ROUND(E8*'01_Assumptions'!$F$12,1)</f>
        <v/>
      </c>
      <c r="F32" s="23">
        <f>ROUND(F8*'01_Assumptions'!$F$12,1)</f>
        <v/>
      </c>
      <c r="G32" s="23">
        <f>ROUND(G8*'01_Assumptions'!$F$12,1)</f>
        <v/>
      </c>
      <c r="H32" s="23">
        <f>ROUND(H8*'01_Assumptions'!$F$12,1)</f>
        <v/>
      </c>
      <c r="I32" s="23">
        <f>ROUND(I8*'01_Assumptions'!$F$12,1)</f>
        <v/>
      </c>
      <c r="J32" s="23">
        <f>ROUND(J8*'01_Assumptions'!$F$12,1)</f>
        <v/>
      </c>
      <c r="K32" s="23">
        <f>ROUND(K8*'01_Assumptions'!$F$12,1)</f>
        <v/>
      </c>
      <c r="L32" s="23">
        <f>ROUND(L8*'01_Assumptions'!$F$12,1)</f>
        <v/>
      </c>
      <c r="M32" s="23">
        <f>ROUND(M8*'01_Assumptions'!$F$12,1)</f>
        <v/>
      </c>
      <c r="N32" s="23">
        <f>ROUND(N8*'01_Assumptions'!$F$12,1)</f>
        <v/>
      </c>
      <c r="O32" s="23">
        <f>SUM(C32:N32)</f>
        <v/>
      </c>
    </row>
    <row r="33">
      <c r="B33" s="22" t="inlineStr">
        <is>
          <t>Supply Chain</t>
        </is>
      </c>
      <c r="C33" s="23">
        <f>ROUND(C9*'01_Assumptions'!$F$13,1)</f>
        <v/>
      </c>
      <c r="D33" s="23">
        <f>ROUND(D9*'01_Assumptions'!$F$13,1)</f>
        <v/>
      </c>
      <c r="E33" s="23">
        <f>ROUND(E9*'01_Assumptions'!$F$13,1)</f>
        <v/>
      </c>
      <c r="F33" s="23">
        <f>ROUND(F9*'01_Assumptions'!$F$13,1)</f>
        <v/>
      </c>
      <c r="G33" s="23">
        <f>ROUND(G9*'01_Assumptions'!$F$13,1)</f>
        <v/>
      </c>
      <c r="H33" s="23">
        <f>ROUND(H9*'01_Assumptions'!$F$13,1)</f>
        <v/>
      </c>
      <c r="I33" s="23">
        <f>ROUND(I9*'01_Assumptions'!$F$13,1)</f>
        <v/>
      </c>
      <c r="J33" s="23">
        <f>ROUND(J9*'01_Assumptions'!$F$13,1)</f>
        <v/>
      </c>
      <c r="K33" s="23">
        <f>ROUND(K9*'01_Assumptions'!$F$13,1)</f>
        <v/>
      </c>
      <c r="L33" s="23">
        <f>ROUND(L9*'01_Assumptions'!$F$13,1)</f>
        <v/>
      </c>
      <c r="M33" s="23">
        <f>ROUND(M9*'01_Assumptions'!$F$13,1)</f>
        <v/>
      </c>
      <c r="N33" s="23">
        <f>ROUND(N9*'01_Assumptions'!$F$13,1)</f>
        <v/>
      </c>
      <c r="O33" s="23">
        <f>SUM(C33:N33)</f>
        <v/>
      </c>
    </row>
    <row r="34">
      <c r="B34" s="22" t="inlineStr">
        <is>
          <t>Sales</t>
        </is>
      </c>
      <c r="C34" s="23">
        <f>ROUND(C10*'01_Assumptions'!$F$14,1)</f>
        <v/>
      </c>
      <c r="D34" s="23">
        <f>ROUND(D10*'01_Assumptions'!$F$14,1)</f>
        <v/>
      </c>
      <c r="E34" s="23">
        <f>ROUND(E10*'01_Assumptions'!$F$14,1)</f>
        <v/>
      </c>
      <c r="F34" s="23">
        <f>ROUND(F10*'01_Assumptions'!$F$14,1)</f>
        <v/>
      </c>
      <c r="G34" s="23">
        <f>ROUND(G10*'01_Assumptions'!$F$14,1)</f>
        <v/>
      </c>
      <c r="H34" s="23">
        <f>ROUND(H10*'01_Assumptions'!$F$14,1)</f>
        <v/>
      </c>
      <c r="I34" s="23">
        <f>ROUND(I10*'01_Assumptions'!$F$14,1)</f>
        <v/>
      </c>
      <c r="J34" s="23">
        <f>ROUND(J10*'01_Assumptions'!$F$14,1)</f>
        <v/>
      </c>
      <c r="K34" s="23">
        <f>ROUND(K10*'01_Assumptions'!$F$14,1)</f>
        <v/>
      </c>
      <c r="L34" s="23">
        <f>ROUND(L10*'01_Assumptions'!$F$14,1)</f>
        <v/>
      </c>
      <c r="M34" s="23">
        <f>ROUND(M10*'01_Assumptions'!$F$14,1)</f>
        <v/>
      </c>
      <c r="N34" s="23">
        <f>ROUND(N10*'01_Assumptions'!$F$14,1)</f>
        <v/>
      </c>
      <c r="O34" s="23">
        <f>SUM(C34:N34)</f>
        <v/>
      </c>
    </row>
    <row r="35">
      <c r="B35" s="22" t="inlineStr">
        <is>
          <t>Marketing</t>
        </is>
      </c>
      <c r="C35" s="23">
        <f>ROUND(C11*'01_Assumptions'!$F$15,1)</f>
        <v/>
      </c>
      <c r="D35" s="23">
        <f>ROUND(D11*'01_Assumptions'!$F$15,1)</f>
        <v/>
      </c>
      <c r="E35" s="23">
        <f>ROUND(E11*'01_Assumptions'!$F$15,1)</f>
        <v/>
      </c>
      <c r="F35" s="23">
        <f>ROUND(F11*'01_Assumptions'!$F$15,1)</f>
        <v/>
      </c>
      <c r="G35" s="23">
        <f>ROUND(G11*'01_Assumptions'!$F$15,1)</f>
        <v/>
      </c>
      <c r="H35" s="23">
        <f>ROUND(H11*'01_Assumptions'!$F$15,1)</f>
        <v/>
      </c>
      <c r="I35" s="23">
        <f>ROUND(I11*'01_Assumptions'!$F$15,1)</f>
        <v/>
      </c>
      <c r="J35" s="23">
        <f>ROUND(J11*'01_Assumptions'!$F$15,1)</f>
        <v/>
      </c>
      <c r="K35" s="23">
        <f>ROUND(K11*'01_Assumptions'!$F$15,1)</f>
        <v/>
      </c>
      <c r="L35" s="23">
        <f>ROUND(L11*'01_Assumptions'!$F$15,1)</f>
        <v/>
      </c>
      <c r="M35" s="23">
        <f>ROUND(M11*'01_Assumptions'!$F$15,1)</f>
        <v/>
      </c>
      <c r="N35" s="23">
        <f>ROUND(N11*'01_Assumptions'!$F$15,1)</f>
        <v/>
      </c>
      <c r="O35" s="23">
        <f>SUM(C35:N35)</f>
        <v/>
      </c>
    </row>
    <row r="36">
      <c r="B36" s="22" t="inlineStr">
        <is>
          <t>Finance</t>
        </is>
      </c>
      <c r="C36" s="23">
        <f>ROUND(C12*'01_Assumptions'!$F$16,1)</f>
        <v/>
      </c>
      <c r="D36" s="23">
        <f>ROUND(D12*'01_Assumptions'!$F$16,1)</f>
        <v/>
      </c>
      <c r="E36" s="23">
        <f>ROUND(E12*'01_Assumptions'!$F$16,1)</f>
        <v/>
      </c>
      <c r="F36" s="23">
        <f>ROUND(F12*'01_Assumptions'!$F$16,1)</f>
        <v/>
      </c>
      <c r="G36" s="23">
        <f>ROUND(G12*'01_Assumptions'!$F$16,1)</f>
        <v/>
      </c>
      <c r="H36" s="23">
        <f>ROUND(H12*'01_Assumptions'!$F$16,1)</f>
        <v/>
      </c>
      <c r="I36" s="23">
        <f>ROUND(I12*'01_Assumptions'!$F$16,1)</f>
        <v/>
      </c>
      <c r="J36" s="23">
        <f>ROUND(J12*'01_Assumptions'!$F$16,1)</f>
        <v/>
      </c>
      <c r="K36" s="23">
        <f>ROUND(K12*'01_Assumptions'!$F$16,1)</f>
        <v/>
      </c>
      <c r="L36" s="23">
        <f>ROUND(L12*'01_Assumptions'!$F$16,1)</f>
        <v/>
      </c>
      <c r="M36" s="23">
        <f>ROUND(M12*'01_Assumptions'!$F$16,1)</f>
        <v/>
      </c>
      <c r="N36" s="23">
        <f>ROUND(N12*'01_Assumptions'!$F$16,1)</f>
        <v/>
      </c>
      <c r="O36" s="23">
        <f>SUM(C36:N36)</f>
        <v/>
      </c>
    </row>
    <row r="37">
      <c r="B37" s="22" t="inlineStr">
        <is>
          <t>HR</t>
        </is>
      </c>
      <c r="C37" s="23">
        <f>ROUND(C13*'01_Assumptions'!$F$17,1)</f>
        <v/>
      </c>
      <c r="D37" s="23">
        <f>ROUND(D13*'01_Assumptions'!$F$17,1)</f>
        <v/>
      </c>
      <c r="E37" s="23">
        <f>ROUND(E13*'01_Assumptions'!$F$17,1)</f>
        <v/>
      </c>
      <c r="F37" s="23">
        <f>ROUND(F13*'01_Assumptions'!$F$17,1)</f>
        <v/>
      </c>
      <c r="G37" s="23">
        <f>ROUND(G13*'01_Assumptions'!$F$17,1)</f>
        <v/>
      </c>
      <c r="H37" s="23">
        <f>ROUND(H13*'01_Assumptions'!$F$17,1)</f>
        <v/>
      </c>
      <c r="I37" s="23">
        <f>ROUND(I13*'01_Assumptions'!$F$17,1)</f>
        <v/>
      </c>
      <c r="J37" s="23">
        <f>ROUND(J13*'01_Assumptions'!$F$17,1)</f>
        <v/>
      </c>
      <c r="K37" s="23">
        <f>ROUND(K13*'01_Assumptions'!$F$17,1)</f>
        <v/>
      </c>
      <c r="L37" s="23">
        <f>ROUND(L13*'01_Assumptions'!$F$17,1)</f>
        <v/>
      </c>
      <c r="M37" s="23">
        <f>ROUND(M13*'01_Assumptions'!$F$17,1)</f>
        <v/>
      </c>
      <c r="N37" s="23">
        <f>ROUND(N13*'01_Assumptions'!$F$17,1)</f>
        <v/>
      </c>
      <c r="O37" s="23">
        <f>SUM(C37:N37)</f>
        <v/>
      </c>
    </row>
    <row r="38">
      <c r="B38" s="22" t="inlineStr">
        <is>
          <t>Quality / R&amp;D</t>
        </is>
      </c>
      <c r="C38" s="23">
        <f>ROUND(C14*'01_Assumptions'!$F$18,1)</f>
        <v/>
      </c>
      <c r="D38" s="23">
        <f>ROUND(D14*'01_Assumptions'!$F$18,1)</f>
        <v/>
      </c>
      <c r="E38" s="23">
        <f>ROUND(E14*'01_Assumptions'!$F$18,1)</f>
        <v/>
      </c>
      <c r="F38" s="23">
        <f>ROUND(F14*'01_Assumptions'!$F$18,1)</f>
        <v/>
      </c>
      <c r="G38" s="23">
        <f>ROUND(G14*'01_Assumptions'!$F$18,1)</f>
        <v/>
      </c>
      <c r="H38" s="23">
        <f>ROUND(H14*'01_Assumptions'!$F$18,1)</f>
        <v/>
      </c>
      <c r="I38" s="23">
        <f>ROUND(I14*'01_Assumptions'!$F$18,1)</f>
        <v/>
      </c>
      <c r="J38" s="23">
        <f>ROUND(J14*'01_Assumptions'!$F$18,1)</f>
        <v/>
      </c>
      <c r="K38" s="23">
        <f>ROUND(K14*'01_Assumptions'!$F$18,1)</f>
        <v/>
      </c>
      <c r="L38" s="23">
        <f>ROUND(L14*'01_Assumptions'!$F$18,1)</f>
        <v/>
      </c>
      <c r="M38" s="23">
        <f>ROUND(M14*'01_Assumptions'!$F$18,1)</f>
        <v/>
      </c>
      <c r="N38" s="23">
        <f>ROUND(N14*'01_Assumptions'!$F$18,1)</f>
        <v/>
      </c>
      <c r="O38" s="23">
        <f>SUM(C38:N38)</f>
        <v/>
      </c>
    </row>
    <row r="39">
      <c r="B39" s="22" t="inlineStr">
        <is>
          <t>G&amp;A / IT</t>
        </is>
      </c>
      <c r="C39" s="23">
        <f>ROUND(C15*'01_Assumptions'!$F$19,1)</f>
        <v/>
      </c>
      <c r="D39" s="23">
        <f>ROUND(D15*'01_Assumptions'!$F$19,1)</f>
        <v/>
      </c>
      <c r="E39" s="23">
        <f>ROUND(E15*'01_Assumptions'!$F$19,1)</f>
        <v/>
      </c>
      <c r="F39" s="23">
        <f>ROUND(F15*'01_Assumptions'!$F$19,1)</f>
        <v/>
      </c>
      <c r="G39" s="23">
        <f>ROUND(G15*'01_Assumptions'!$F$19,1)</f>
        <v/>
      </c>
      <c r="H39" s="23">
        <f>ROUND(H15*'01_Assumptions'!$F$19,1)</f>
        <v/>
      </c>
      <c r="I39" s="23">
        <f>ROUND(I15*'01_Assumptions'!$F$19,1)</f>
        <v/>
      </c>
      <c r="J39" s="23">
        <f>ROUND(J15*'01_Assumptions'!$F$19,1)</f>
        <v/>
      </c>
      <c r="K39" s="23">
        <f>ROUND(K15*'01_Assumptions'!$F$19,1)</f>
        <v/>
      </c>
      <c r="L39" s="23">
        <f>ROUND(L15*'01_Assumptions'!$F$19,1)</f>
        <v/>
      </c>
      <c r="M39" s="23">
        <f>ROUND(M15*'01_Assumptions'!$F$19,1)</f>
        <v/>
      </c>
      <c r="N39" s="23">
        <f>ROUND(N15*'01_Assumptions'!$F$19,1)</f>
        <v/>
      </c>
      <c r="O39" s="23">
        <f>SUM(C39:N39)</f>
        <v/>
      </c>
    </row>
    <row r="40">
      <c r="B40" s="15" t="inlineStr">
        <is>
          <t>Total</t>
        </is>
      </c>
      <c r="C40" s="19">
        <f>SUM(C32:C39)</f>
        <v/>
      </c>
      <c r="D40" s="19">
        <f>SUM(D32:D39)</f>
        <v/>
      </c>
      <c r="E40" s="19">
        <f>SUM(E32:E39)</f>
        <v/>
      </c>
      <c r="F40" s="19">
        <f>SUM(F32:F39)</f>
        <v/>
      </c>
      <c r="G40" s="19">
        <f>SUM(G32:G39)</f>
        <v/>
      </c>
      <c r="H40" s="19">
        <f>SUM(H32:H39)</f>
        <v/>
      </c>
      <c r="I40" s="19">
        <f>SUM(I32:I39)</f>
        <v/>
      </c>
      <c r="J40" s="19">
        <f>SUM(J32:J39)</f>
        <v/>
      </c>
      <c r="K40" s="19">
        <f>SUM(K32:K39)</f>
        <v/>
      </c>
      <c r="L40" s="19">
        <f>SUM(L32:L39)</f>
        <v/>
      </c>
      <c r="M40" s="19">
        <f>SUM(M32:M39)</f>
        <v/>
      </c>
      <c r="N40" s="19">
        <f>SUM(N32:N39)</f>
        <v/>
      </c>
      <c r="O40" s="19">
        <f>SUM(O32:O39)</f>
        <v/>
      </c>
    </row>
    <row r="42">
      <c r="B42" s="12" t="inlineStr">
        <is>
          <t>Other exits (restructuring / transfers-out) — input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>
      <c r="C43" s="14" t="inlineStr">
        <is>
          <t>Jan-26</t>
        </is>
      </c>
      <c r="D43" s="14" t="inlineStr">
        <is>
          <t>Feb-26</t>
        </is>
      </c>
      <c r="E43" s="14" t="inlineStr">
        <is>
          <t>Mar-26</t>
        </is>
      </c>
      <c r="F43" s="14" t="inlineStr">
        <is>
          <t>Apr-26</t>
        </is>
      </c>
      <c r="G43" s="14" t="inlineStr">
        <is>
          <t>May-26</t>
        </is>
      </c>
      <c r="H43" s="14" t="inlineStr">
        <is>
          <t>Jun-26</t>
        </is>
      </c>
      <c r="I43" s="14" t="inlineStr">
        <is>
          <t>Jul-26</t>
        </is>
      </c>
      <c r="J43" s="14" t="inlineStr">
        <is>
          <t>Aug-26</t>
        </is>
      </c>
      <c r="K43" s="14" t="inlineStr">
        <is>
          <t>Sep-26</t>
        </is>
      </c>
      <c r="L43" s="14" t="inlineStr">
        <is>
          <t>Oct-26</t>
        </is>
      </c>
      <c r="M43" s="14" t="inlineStr">
        <is>
          <t>Nov-26</t>
        </is>
      </c>
      <c r="N43" s="14" t="inlineStr">
        <is>
          <t>Dec-26</t>
        </is>
      </c>
      <c r="O43" s="14" t="inlineStr">
        <is>
          <t>FY26</t>
        </is>
      </c>
    </row>
    <row r="44">
      <c r="B44" s="22" t="inlineStr">
        <is>
          <t>Operations</t>
        </is>
      </c>
      <c r="C44" s="16" t="n">
        <v>0</v>
      </c>
      <c r="D44" s="16" t="n">
        <v>0</v>
      </c>
      <c r="E44" s="16" t="n">
        <v>1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1</v>
      </c>
      <c r="K44" s="16" t="n">
        <v>0</v>
      </c>
      <c r="L44" s="16" t="n">
        <v>0</v>
      </c>
      <c r="M44" s="16" t="n">
        <v>0</v>
      </c>
      <c r="N44" s="16" t="n">
        <v>0</v>
      </c>
      <c r="O44" s="23">
        <f>SUM(C44:N44)</f>
        <v/>
      </c>
    </row>
    <row r="45">
      <c r="B45" s="22" t="inlineStr">
        <is>
          <t>Supply Chain</t>
        </is>
      </c>
      <c r="C45" s="16" t="n">
        <v>0</v>
      </c>
      <c r="D45" s="16" t="n">
        <v>0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23">
        <f>SUM(C45:N45)</f>
        <v/>
      </c>
    </row>
    <row r="46">
      <c r="B46" s="22" t="inlineStr">
        <is>
          <t>Sales</t>
        </is>
      </c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1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23">
        <f>SUM(C46:N46)</f>
        <v/>
      </c>
    </row>
    <row r="47">
      <c r="B47" s="22" t="inlineStr">
        <is>
          <t>Marketing</t>
        </is>
      </c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23">
        <f>SUM(C47:N47)</f>
        <v/>
      </c>
    </row>
    <row r="48">
      <c r="B48" s="22" t="inlineStr">
        <is>
          <t>Finance</t>
        </is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0</v>
      </c>
      <c r="N48" s="16" t="n">
        <v>0</v>
      </c>
      <c r="O48" s="23">
        <f>SUM(C48:N48)</f>
        <v/>
      </c>
    </row>
    <row r="49">
      <c r="B49" s="22" t="inlineStr">
        <is>
          <t>HR</t>
        </is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23">
        <f>SUM(C49:N49)</f>
        <v/>
      </c>
    </row>
    <row r="50">
      <c r="B50" s="22" t="inlineStr">
        <is>
          <t>Quality / R&amp;D</t>
        </is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23">
        <f>SUM(C50:N50)</f>
        <v/>
      </c>
    </row>
    <row r="51">
      <c r="B51" s="22" t="inlineStr">
        <is>
          <t>G&amp;A / IT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23">
        <f>SUM(C51:N51)</f>
        <v/>
      </c>
    </row>
    <row r="52">
      <c r="B52" s="15" t="inlineStr">
        <is>
          <t>Total</t>
        </is>
      </c>
      <c r="C52" s="19">
        <f>SUM(C44:C51)</f>
        <v/>
      </c>
      <c r="D52" s="19">
        <f>SUM(D44:D51)</f>
        <v/>
      </c>
      <c r="E52" s="19">
        <f>SUM(E44:E51)</f>
        <v/>
      </c>
      <c r="F52" s="19">
        <f>SUM(F44:F51)</f>
        <v/>
      </c>
      <c r="G52" s="19">
        <f>SUM(G44:G51)</f>
        <v/>
      </c>
      <c r="H52" s="19">
        <f>SUM(H44:H51)</f>
        <v/>
      </c>
      <c r="I52" s="19">
        <f>SUM(I44:I51)</f>
        <v/>
      </c>
      <c r="J52" s="19">
        <f>SUM(J44:J51)</f>
        <v/>
      </c>
      <c r="K52" s="19">
        <f>SUM(K44:K51)</f>
        <v/>
      </c>
      <c r="L52" s="19">
        <f>SUM(L44:L51)</f>
        <v/>
      </c>
      <c r="M52" s="19">
        <f>SUM(M44:M51)</f>
        <v/>
      </c>
      <c r="N52" s="19">
        <f>SUM(N44:N51)</f>
        <v/>
      </c>
      <c r="O52" s="19">
        <f>SUM(O44:O51)</f>
        <v/>
      </c>
    </row>
    <row r="54">
      <c r="B54" s="12" t="inlineStr">
        <is>
          <t>Total exits  = attrition + other</t>
        </is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>
      <c r="C55" s="14" t="inlineStr">
        <is>
          <t>Jan-26</t>
        </is>
      </c>
      <c r="D55" s="14" t="inlineStr">
        <is>
          <t>Feb-26</t>
        </is>
      </c>
      <c r="E55" s="14" t="inlineStr">
        <is>
          <t>Mar-26</t>
        </is>
      </c>
      <c r="F55" s="14" t="inlineStr">
        <is>
          <t>Apr-26</t>
        </is>
      </c>
      <c r="G55" s="14" t="inlineStr">
        <is>
          <t>May-26</t>
        </is>
      </c>
      <c r="H55" s="14" t="inlineStr">
        <is>
          <t>Jun-26</t>
        </is>
      </c>
      <c r="I55" s="14" t="inlineStr">
        <is>
          <t>Jul-26</t>
        </is>
      </c>
      <c r="J55" s="14" t="inlineStr">
        <is>
          <t>Aug-26</t>
        </is>
      </c>
      <c r="K55" s="14" t="inlineStr">
        <is>
          <t>Sep-26</t>
        </is>
      </c>
      <c r="L55" s="14" t="inlineStr">
        <is>
          <t>Oct-26</t>
        </is>
      </c>
      <c r="M55" s="14" t="inlineStr">
        <is>
          <t>Nov-26</t>
        </is>
      </c>
      <c r="N55" s="14" t="inlineStr">
        <is>
          <t>Dec-26</t>
        </is>
      </c>
      <c r="O55" s="14" t="inlineStr">
        <is>
          <t>FY26</t>
        </is>
      </c>
    </row>
    <row r="56">
      <c r="B56" s="22" t="inlineStr">
        <is>
          <t>Operations</t>
        </is>
      </c>
      <c r="C56" s="23">
        <f>C32+C44</f>
        <v/>
      </c>
      <c r="D56" s="23">
        <f>D32+D44</f>
        <v/>
      </c>
      <c r="E56" s="23">
        <f>E32+E44</f>
        <v/>
      </c>
      <c r="F56" s="23">
        <f>F32+F44</f>
        <v/>
      </c>
      <c r="G56" s="23">
        <f>G32+G44</f>
        <v/>
      </c>
      <c r="H56" s="23">
        <f>H32+H44</f>
        <v/>
      </c>
      <c r="I56" s="23">
        <f>I32+I44</f>
        <v/>
      </c>
      <c r="J56" s="23">
        <f>J32+J44</f>
        <v/>
      </c>
      <c r="K56" s="23">
        <f>K32+K44</f>
        <v/>
      </c>
      <c r="L56" s="23">
        <f>L32+L44</f>
        <v/>
      </c>
      <c r="M56" s="23">
        <f>M32+M44</f>
        <v/>
      </c>
      <c r="N56" s="23">
        <f>N32+N44</f>
        <v/>
      </c>
      <c r="O56" s="23">
        <f>SUM(C56:N56)</f>
        <v/>
      </c>
    </row>
    <row r="57">
      <c r="B57" s="22" t="inlineStr">
        <is>
          <t>Supply Chain</t>
        </is>
      </c>
      <c r="C57" s="23">
        <f>C33+C45</f>
        <v/>
      </c>
      <c r="D57" s="23">
        <f>D33+D45</f>
        <v/>
      </c>
      <c r="E57" s="23">
        <f>E33+E45</f>
        <v/>
      </c>
      <c r="F57" s="23">
        <f>F33+F45</f>
        <v/>
      </c>
      <c r="G57" s="23">
        <f>G33+G45</f>
        <v/>
      </c>
      <c r="H57" s="23">
        <f>H33+H45</f>
        <v/>
      </c>
      <c r="I57" s="23">
        <f>I33+I45</f>
        <v/>
      </c>
      <c r="J57" s="23">
        <f>J33+J45</f>
        <v/>
      </c>
      <c r="K57" s="23">
        <f>K33+K45</f>
        <v/>
      </c>
      <c r="L57" s="23">
        <f>L33+L45</f>
        <v/>
      </c>
      <c r="M57" s="23">
        <f>M33+M45</f>
        <v/>
      </c>
      <c r="N57" s="23">
        <f>N33+N45</f>
        <v/>
      </c>
      <c r="O57" s="23">
        <f>SUM(C57:N57)</f>
        <v/>
      </c>
    </row>
    <row r="58">
      <c r="B58" s="22" t="inlineStr">
        <is>
          <t>Sales</t>
        </is>
      </c>
      <c r="C58" s="23">
        <f>C34+C46</f>
        <v/>
      </c>
      <c r="D58" s="23">
        <f>D34+D46</f>
        <v/>
      </c>
      <c r="E58" s="23">
        <f>E34+E46</f>
        <v/>
      </c>
      <c r="F58" s="23">
        <f>F34+F46</f>
        <v/>
      </c>
      <c r="G58" s="23">
        <f>G34+G46</f>
        <v/>
      </c>
      <c r="H58" s="23">
        <f>H34+H46</f>
        <v/>
      </c>
      <c r="I58" s="23">
        <f>I34+I46</f>
        <v/>
      </c>
      <c r="J58" s="23">
        <f>J34+J46</f>
        <v/>
      </c>
      <c r="K58" s="23">
        <f>K34+K46</f>
        <v/>
      </c>
      <c r="L58" s="23">
        <f>L34+L46</f>
        <v/>
      </c>
      <c r="M58" s="23">
        <f>M34+M46</f>
        <v/>
      </c>
      <c r="N58" s="23">
        <f>N34+N46</f>
        <v/>
      </c>
      <c r="O58" s="23">
        <f>SUM(C58:N58)</f>
        <v/>
      </c>
    </row>
    <row r="59">
      <c r="B59" s="22" t="inlineStr">
        <is>
          <t>Marketing</t>
        </is>
      </c>
      <c r="C59" s="23">
        <f>C35+C47</f>
        <v/>
      </c>
      <c r="D59" s="23">
        <f>D35+D47</f>
        <v/>
      </c>
      <c r="E59" s="23">
        <f>E35+E47</f>
        <v/>
      </c>
      <c r="F59" s="23">
        <f>F35+F47</f>
        <v/>
      </c>
      <c r="G59" s="23">
        <f>G35+G47</f>
        <v/>
      </c>
      <c r="H59" s="23">
        <f>H35+H47</f>
        <v/>
      </c>
      <c r="I59" s="23">
        <f>I35+I47</f>
        <v/>
      </c>
      <c r="J59" s="23">
        <f>J35+J47</f>
        <v/>
      </c>
      <c r="K59" s="23">
        <f>K35+K47</f>
        <v/>
      </c>
      <c r="L59" s="23">
        <f>L35+L47</f>
        <v/>
      </c>
      <c r="M59" s="23">
        <f>M35+M47</f>
        <v/>
      </c>
      <c r="N59" s="23">
        <f>N35+N47</f>
        <v/>
      </c>
      <c r="O59" s="23">
        <f>SUM(C59:N59)</f>
        <v/>
      </c>
    </row>
    <row r="60">
      <c r="B60" s="22" t="inlineStr">
        <is>
          <t>Finance</t>
        </is>
      </c>
      <c r="C60" s="23">
        <f>C36+C48</f>
        <v/>
      </c>
      <c r="D60" s="23">
        <f>D36+D48</f>
        <v/>
      </c>
      <c r="E60" s="23">
        <f>E36+E48</f>
        <v/>
      </c>
      <c r="F60" s="23">
        <f>F36+F48</f>
        <v/>
      </c>
      <c r="G60" s="23">
        <f>G36+G48</f>
        <v/>
      </c>
      <c r="H60" s="23">
        <f>H36+H48</f>
        <v/>
      </c>
      <c r="I60" s="23">
        <f>I36+I48</f>
        <v/>
      </c>
      <c r="J60" s="23">
        <f>J36+J48</f>
        <v/>
      </c>
      <c r="K60" s="23">
        <f>K36+K48</f>
        <v/>
      </c>
      <c r="L60" s="23">
        <f>L36+L48</f>
        <v/>
      </c>
      <c r="M60" s="23">
        <f>M36+M48</f>
        <v/>
      </c>
      <c r="N60" s="23">
        <f>N36+N48</f>
        <v/>
      </c>
      <c r="O60" s="23">
        <f>SUM(C60:N60)</f>
        <v/>
      </c>
    </row>
    <row r="61">
      <c r="B61" s="22" t="inlineStr">
        <is>
          <t>HR</t>
        </is>
      </c>
      <c r="C61" s="23">
        <f>C37+C49</f>
        <v/>
      </c>
      <c r="D61" s="23">
        <f>D37+D49</f>
        <v/>
      </c>
      <c r="E61" s="23">
        <f>E37+E49</f>
        <v/>
      </c>
      <c r="F61" s="23">
        <f>F37+F49</f>
        <v/>
      </c>
      <c r="G61" s="23">
        <f>G37+G49</f>
        <v/>
      </c>
      <c r="H61" s="23">
        <f>H37+H49</f>
        <v/>
      </c>
      <c r="I61" s="23">
        <f>I37+I49</f>
        <v/>
      </c>
      <c r="J61" s="23">
        <f>J37+J49</f>
        <v/>
      </c>
      <c r="K61" s="23">
        <f>K37+K49</f>
        <v/>
      </c>
      <c r="L61" s="23">
        <f>L37+L49</f>
        <v/>
      </c>
      <c r="M61" s="23">
        <f>M37+M49</f>
        <v/>
      </c>
      <c r="N61" s="23">
        <f>N37+N49</f>
        <v/>
      </c>
      <c r="O61" s="23">
        <f>SUM(C61:N61)</f>
        <v/>
      </c>
    </row>
    <row r="62">
      <c r="B62" s="22" t="inlineStr">
        <is>
          <t>Quality / R&amp;D</t>
        </is>
      </c>
      <c r="C62" s="23">
        <f>C38+C50</f>
        <v/>
      </c>
      <c r="D62" s="23">
        <f>D38+D50</f>
        <v/>
      </c>
      <c r="E62" s="23">
        <f>E38+E50</f>
        <v/>
      </c>
      <c r="F62" s="23">
        <f>F38+F50</f>
        <v/>
      </c>
      <c r="G62" s="23">
        <f>G38+G50</f>
        <v/>
      </c>
      <c r="H62" s="23">
        <f>H38+H50</f>
        <v/>
      </c>
      <c r="I62" s="23">
        <f>I38+I50</f>
        <v/>
      </c>
      <c r="J62" s="23">
        <f>J38+J50</f>
        <v/>
      </c>
      <c r="K62" s="23">
        <f>K38+K50</f>
        <v/>
      </c>
      <c r="L62" s="23">
        <f>L38+L50</f>
        <v/>
      </c>
      <c r="M62" s="23">
        <f>M38+M50</f>
        <v/>
      </c>
      <c r="N62" s="23">
        <f>N38+N50</f>
        <v/>
      </c>
      <c r="O62" s="23">
        <f>SUM(C62:N62)</f>
        <v/>
      </c>
    </row>
    <row r="63">
      <c r="B63" s="22" t="inlineStr">
        <is>
          <t>G&amp;A / IT</t>
        </is>
      </c>
      <c r="C63" s="23">
        <f>C39+C51</f>
        <v/>
      </c>
      <c r="D63" s="23">
        <f>D39+D51</f>
        <v/>
      </c>
      <c r="E63" s="23">
        <f>E39+E51</f>
        <v/>
      </c>
      <c r="F63" s="23">
        <f>F39+F51</f>
        <v/>
      </c>
      <c r="G63" s="23">
        <f>G39+G51</f>
        <v/>
      </c>
      <c r="H63" s="23">
        <f>H39+H51</f>
        <v/>
      </c>
      <c r="I63" s="23">
        <f>I39+I51</f>
        <v/>
      </c>
      <c r="J63" s="23">
        <f>J39+J51</f>
        <v/>
      </c>
      <c r="K63" s="23">
        <f>K39+K51</f>
        <v/>
      </c>
      <c r="L63" s="23">
        <f>L39+L51</f>
        <v/>
      </c>
      <c r="M63" s="23">
        <f>M39+M51</f>
        <v/>
      </c>
      <c r="N63" s="23">
        <f>N39+N51</f>
        <v/>
      </c>
      <c r="O63" s="23">
        <f>SUM(C63:N63)</f>
        <v/>
      </c>
    </row>
    <row r="64">
      <c r="B64" s="15" t="inlineStr">
        <is>
          <t>Total</t>
        </is>
      </c>
      <c r="C64" s="19">
        <f>SUM(C56:C63)</f>
        <v/>
      </c>
      <c r="D64" s="19">
        <f>SUM(D56:D63)</f>
        <v/>
      </c>
      <c r="E64" s="19">
        <f>SUM(E56:E63)</f>
        <v/>
      </c>
      <c r="F64" s="19">
        <f>SUM(F56:F63)</f>
        <v/>
      </c>
      <c r="G64" s="19">
        <f>SUM(G56:G63)</f>
        <v/>
      </c>
      <c r="H64" s="19">
        <f>SUM(H56:H63)</f>
        <v/>
      </c>
      <c r="I64" s="19">
        <f>SUM(I56:I63)</f>
        <v/>
      </c>
      <c r="J64" s="19">
        <f>SUM(J56:J63)</f>
        <v/>
      </c>
      <c r="K64" s="19">
        <f>SUM(K56:K63)</f>
        <v/>
      </c>
      <c r="L64" s="19">
        <f>SUM(L56:L63)</f>
        <v/>
      </c>
      <c r="M64" s="19">
        <f>SUM(M56:M63)</f>
        <v/>
      </c>
      <c r="N64" s="19">
        <f>SUM(N56:N63)</f>
        <v/>
      </c>
      <c r="O64" s="19">
        <f>SUM(O56:O63)</f>
        <v/>
      </c>
    </row>
    <row r="66">
      <c r="B66" s="12" t="inlineStr">
        <is>
          <t>Ending FTE  = opening + hires − total exits</t>
        </is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>
      <c r="C67" s="14" t="inlineStr">
        <is>
          <t>Jan-26</t>
        </is>
      </c>
      <c r="D67" s="14" t="inlineStr">
        <is>
          <t>Feb-26</t>
        </is>
      </c>
      <c r="E67" s="14" t="inlineStr">
        <is>
          <t>Mar-26</t>
        </is>
      </c>
      <c r="F67" s="14" t="inlineStr">
        <is>
          <t>Apr-26</t>
        </is>
      </c>
      <c r="G67" s="14" t="inlineStr">
        <is>
          <t>May-26</t>
        </is>
      </c>
      <c r="H67" s="14" t="inlineStr">
        <is>
          <t>Jun-26</t>
        </is>
      </c>
      <c r="I67" s="14" t="inlineStr">
        <is>
          <t>Jul-26</t>
        </is>
      </c>
      <c r="J67" s="14" t="inlineStr">
        <is>
          <t>Aug-26</t>
        </is>
      </c>
      <c r="K67" s="14" t="inlineStr">
        <is>
          <t>Sep-26</t>
        </is>
      </c>
      <c r="L67" s="14" t="inlineStr">
        <is>
          <t>Oct-26</t>
        </is>
      </c>
      <c r="M67" s="14" t="inlineStr">
        <is>
          <t>Nov-26</t>
        </is>
      </c>
      <c r="N67" s="14" t="inlineStr">
        <is>
          <t>Dec-26</t>
        </is>
      </c>
      <c r="O67" s="14" t="inlineStr">
        <is>
          <t>FY26</t>
        </is>
      </c>
    </row>
    <row r="68">
      <c r="B68" s="22" t="inlineStr">
        <is>
          <t>Operations</t>
        </is>
      </c>
      <c r="C68" s="19">
        <f>C8+C20-C56</f>
        <v/>
      </c>
      <c r="D68" s="19">
        <f>D8+D20-D56</f>
        <v/>
      </c>
      <c r="E68" s="19">
        <f>E8+E20-E56</f>
        <v/>
      </c>
      <c r="F68" s="19">
        <f>F8+F20-F56</f>
        <v/>
      </c>
      <c r="G68" s="19">
        <f>G8+G20-G56</f>
        <v/>
      </c>
      <c r="H68" s="19">
        <f>H8+H20-H56</f>
        <v/>
      </c>
      <c r="I68" s="19">
        <f>I8+I20-I56</f>
        <v/>
      </c>
      <c r="J68" s="19">
        <f>J8+J20-J56</f>
        <v/>
      </c>
      <c r="K68" s="19">
        <f>K8+K20-K56</f>
        <v/>
      </c>
      <c r="L68" s="19">
        <f>L8+L20-L56</f>
        <v/>
      </c>
      <c r="M68" s="19">
        <f>M8+M20-M56</f>
        <v/>
      </c>
      <c r="N68" s="19">
        <f>N8+N20-N56</f>
        <v/>
      </c>
      <c r="O68" s="19">
        <f>N68</f>
        <v/>
      </c>
    </row>
    <row r="69">
      <c r="B69" s="22" t="inlineStr">
        <is>
          <t>Supply Chain</t>
        </is>
      </c>
      <c r="C69" s="19">
        <f>C9+C21-C57</f>
        <v/>
      </c>
      <c r="D69" s="19">
        <f>D9+D21-D57</f>
        <v/>
      </c>
      <c r="E69" s="19">
        <f>E9+E21-E57</f>
        <v/>
      </c>
      <c r="F69" s="19">
        <f>F9+F21-F57</f>
        <v/>
      </c>
      <c r="G69" s="19">
        <f>G9+G21-G57</f>
        <v/>
      </c>
      <c r="H69" s="19">
        <f>H9+H21-H57</f>
        <v/>
      </c>
      <c r="I69" s="19">
        <f>I9+I21-I57</f>
        <v/>
      </c>
      <c r="J69" s="19">
        <f>J9+J21-J57</f>
        <v/>
      </c>
      <c r="K69" s="19">
        <f>K9+K21-K57</f>
        <v/>
      </c>
      <c r="L69" s="19">
        <f>L9+L21-L57</f>
        <v/>
      </c>
      <c r="M69" s="19">
        <f>M9+M21-M57</f>
        <v/>
      </c>
      <c r="N69" s="19">
        <f>N9+N21-N57</f>
        <v/>
      </c>
      <c r="O69" s="19">
        <f>N69</f>
        <v/>
      </c>
    </row>
    <row r="70">
      <c r="B70" s="22" t="inlineStr">
        <is>
          <t>Sales</t>
        </is>
      </c>
      <c r="C70" s="19">
        <f>C10+C22-C58</f>
        <v/>
      </c>
      <c r="D70" s="19">
        <f>D10+D22-D58</f>
        <v/>
      </c>
      <c r="E70" s="19">
        <f>E10+E22-E58</f>
        <v/>
      </c>
      <c r="F70" s="19">
        <f>F10+F22-F58</f>
        <v/>
      </c>
      <c r="G70" s="19">
        <f>G10+G22-G58</f>
        <v/>
      </c>
      <c r="H70" s="19">
        <f>H10+H22-H58</f>
        <v/>
      </c>
      <c r="I70" s="19">
        <f>I10+I22-I58</f>
        <v/>
      </c>
      <c r="J70" s="19">
        <f>J10+J22-J58</f>
        <v/>
      </c>
      <c r="K70" s="19">
        <f>K10+K22-K58</f>
        <v/>
      </c>
      <c r="L70" s="19">
        <f>L10+L22-L58</f>
        <v/>
      </c>
      <c r="M70" s="19">
        <f>M10+M22-M58</f>
        <v/>
      </c>
      <c r="N70" s="19">
        <f>N10+N22-N58</f>
        <v/>
      </c>
      <c r="O70" s="19">
        <f>N70</f>
        <v/>
      </c>
    </row>
    <row r="71">
      <c r="B71" s="22" t="inlineStr">
        <is>
          <t>Marketing</t>
        </is>
      </c>
      <c r="C71" s="19">
        <f>C11+C23-C59</f>
        <v/>
      </c>
      <c r="D71" s="19">
        <f>D11+D23-D59</f>
        <v/>
      </c>
      <c r="E71" s="19">
        <f>E11+E23-E59</f>
        <v/>
      </c>
      <c r="F71" s="19">
        <f>F11+F23-F59</f>
        <v/>
      </c>
      <c r="G71" s="19">
        <f>G11+G23-G59</f>
        <v/>
      </c>
      <c r="H71" s="19">
        <f>H11+H23-H59</f>
        <v/>
      </c>
      <c r="I71" s="19">
        <f>I11+I23-I59</f>
        <v/>
      </c>
      <c r="J71" s="19">
        <f>J11+J23-J59</f>
        <v/>
      </c>
      <c r="K71" s="19">
        <f>K11+K23-K59</f>
        <v/>
      </c>
      <c r="L71" s="19">
        <f>L11+L23-L59</f>
        <v/>
      </c>
      <c r="M71" s="19">
        <f>M11+M23-M59</f>
        <v/>
      </c>
      <c r="N71" s="19">
        <f>N11+N23-N59</f>
        <v/>
      </c>
      <c r="O71" s="19">
        <f>N71</f>
        <v/>
      </c>
    </row>
    <row r="72">
      <c r="B72" s="22" t="inlineStr">
        <is>
          <t>Finance</t>
        </is>
      </c>
      <c r="C72" s="19">
        <f>C12+C24-C60</f>
        <v/>
      </c>
      <c r="D72" s="19">
        <f>D12+D24-D60</f>
        <v/>
      </c>
      <c r="E72" s="19">
        <f>E12+E24-E60</f>
        <v/>
      </c>
      <c r="F72" s="19">
        <f>F12+F24-F60</f>
        <v/>
      </c>
      <c r="G72" s="19">
        <f>G12+G24-G60</f>
        <v/>
      </c>
      <c r="H72" s="19">
        <f>H12+H24-H60</f>
        <v/>
      </c>
      <c r="I72" s="19">
        <f>I12+I24-I60</f>
        <v/>
      </c>
      <c r="J72" s="19">
        <f>J12+J24-J60</f>
        <v/>
      </c>
      <c r="K72" s="19">
        <f>K12+K24-K60</f>
        <v/>
      </c>
      <c r="L72" s="19">
        <f>L12+L24-L60</f>
        <v/>
      </c>
      <c r="M72" s="19">
        <f>M12+M24-M60</f>
        <v/>
      </c>
      <c r="N72" s="19">
        <f>N12+N24-N60</f>
        <v/>
      </c>
      <c r="O72" s="19">
        <f>N72</f>
        <v/>
      </c>
    </row>
    <row r="73">
      <c r="B73" s="22" t="inlineStr">
        <is>
          <t>HR</t>
        </is>
      </c>
      <c r="C73" s="19">
        <f>C13+C25-C61</f>
        <v/>
      </c>
      <c r="D73" s="19">
        <f>D13+D25-D61</f>
        <v/>
      </c>
      <c r="E73" s="19">
        <f>E13+E25-E61</f>
        <v/>
      </c>
      <c r="F73" s="19">
        <f>F13+F25-F61</f>
        <v/>
      </c>
      <c r="G73" s="19">
        <f>G13+G25-G61</f>
        <v/>
      </c>
      <c r="H73" s="19">
        <f>H13+H25-H61</f>
        <v/>
      </c>
      <c r="I73" s="19">
        <f>I13+I25-I61</f>
        <v/>
      </c>
      <c r="J73" s="19">
        <f>J13+J25-J61</f>
        <v/>
      </c>
      <c r="K73" s="19">
        <f>K13+K25-K61</f>
        <v/>
      </c>
      <c r="L73" s="19">
        <f>L13+L25-L61</f>
        <v/>
      </c>
      <c r="M73" s="19">
        <f>M13+M25-M61</f>
        <v/>
      </c>
      <c r="N73" s="19">
        <f>N13+N25-N61</f>
        <v/>
      </c>
      <c r="O73" s="19">
        <f>N73</f>
        <v/>
      </c>
    </row>
    <row r="74">
      <c r="B74" s="22" t="inlineStr">
        <is>
          <t>Quality / R&amp;D</t>
        </is>
      </c>
      <c r="C74" s="19">
        <f>C14+C26-C62</f>
        <v/>
      </c>
      <c r="D74" s="19">
        <f>D14+D26-D62</f>
        <v/>
      </c>
      <c r="E74" s="19">
        <f>E14+E26-E62</f>
        <v/>
      </c>
      <c r="F74" s="19">
        <f>F14+F26-F62</f>
        <v/>
      </c>
      <c r="G74" s="19">
        <f>G14+G26-G62</f>
        <v/>
      </c>
      <c r="H74" s="19">
        <f>H14+H26-H62</f>
        <v/>
      </c>
      <c r="I74" s="19">
        <f>I14+I26-I62</f>
        <v/>
      </c>
      <c r="J74" s="19">
        <f>J14+J26-J62</f>
        <v/>
      </c>
      <c r="K74" s="19">
        <f>K14+K26-K62</f>
        <v/>
      </c>
      <c r="L74" s="19">
        <f>L14+L26-L62</f>
        <v/>
      </c>
      <c r="M74" s="19">
        <f>M14+M26-M62</f>
        <v/>
      </c>
      <c r="N74" s="19">
        <f>N14+N26-N62</f>
        <v/>
      </c>
      <c r="O74" s="19">
        <f>N74</f>
        <v/>
      </c>
    </row>
    <row r="75">
      <c r="B75" s="22" t="inlineStr">
        <is>
          <t>G&amp;A / IT</t>
        </is>
      </c>
      <c r="C75" s="19">
        <f>C15+C27-C63</f>
        <v/>
      </c>
      <c r="D75" s="19">
        <f>D15+D27-D63</f>
        <v/>
      </c>
      <c r="E75" s="19">
        <f>E15+E27-E63</f>
        <v/>
      </c>
      <c r="F75" s="19">
        <f>F15+F27-F63</f>
        <v/>
      </c>
      <c r="G75" s="19">
        <f>G15+G27-G63</f>
        <v/>
      </c>
      <c r="H75" s="19">
        <f>H15+H27-H63</f>
        <v/>
      </c>
      <c r="I75" s="19">
        <f>I15+I27-I63</f>
        <v/>
      </c>
      <c r="J75" s="19">
        <f>J15+J27-J63</f>
        <v/>
      </c>
      <c r="K75" s="19">
        <f>K15+K27-K63</f>
        <v/>
      </c>
      <c r="L75" s="19">
        <f>L15+L27-L63</f>
        <v/>
      </c>
      <c r="M75" s="19">
        <f>M15+M27-M63</f>
        <v/>
      </c>
      <c r="N75" s="19">
        <f>N15+N27-N63</f>
        <v/>
      </c>
      <c r="O75" s="19">
        <f>N75</f>
        <v/>
      </c>
    </row>
    <row r="76">
      <c r="B76" s="15" t="inlineStr">
        <is>
          <t>Total</t>
        </is>
      </c>
      <c r="C76" s="19">
        <f>SUM(C68:C75)</f>
        <v/>
      </c>
      <c r="D76" s="19">
        <f>SUM(D68:D75)</f>
        <v/>
      </c>
      <c r="E76" s="19">
        <f>SUM(E68:E75)</f>
        <v/>
      </c>
      <c r="F76" s="19">
        <f>SUM(F68:F75)</f>
        <v/>
      </c>
      <c r="G76" s="19">
        <f>SUM(G68:G75)</f>
        <v/>
      </c>
      <c r="H76" s="19">
        <f>SUM(H68:H75)</f>
        <v/>
      </c>
      <c r="I76" s="19">
        <f>SUM(I68:I75)</f>
        <v/>
      </c>
      <c r="J76" s="19">
        <f>SUM(J68:J75)</f>
        <v/>
      </c>
      <c r="K76" s="19">
        <f>SUM(K68:K75)</f>
        <v/>
      </c>
      <c r="L76" s="19">
        <f>SUM(L68:L75)</f>
        <v/>
      </c>
      <c r="M76" s="19">
        <f>SUM(M68:M75)</f>
        <v/>
      </c>
      <c r="N76" s="19">
        <f>SUM(N68:N75)</f>
        <v/>
      </c>
      <c r="O76" s="19">
        <f>SUM(O68:O75)</f>
        <v/>
      </c>
    </row>
    <row r="78">
      <c r="B78" s="12" t="inlineStr">
        <is>
          <t>Net change (ending − opening)</t>
        </is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>
      <c r="C79" s="14" t="inlineStr">
        <is>
          <t>Jan-26</t>
        </is>
      </c>
      <c r="D79" s="14" t="inlineStr">
        <is>
          <t>Feb-26</t>
        </is>
      </c>
      <c r="E79" s="14" t="inlineStr">
        <is>
          <t>Mar-26</t>
        </is>
      </c>
      <c r="F79" s="14" t="inlineStr">
        <is>
          <t>Apr-26</t>
        </is>
      </c>
      <c r="G79" s="14" t="inlineStr">
        <is>
          <t>May-26</t>
        </is>
      </c>
      <c r="H79" s="14" t="inlineStr">
        <is>
          <t>Jun-26</t>
        </is>
      </c>
      <c r="I79" s="14" t="inlineStr">
        <is>
          <t>Jul-26</t>
        </is>
      </c>
      <c r="J79" s="14" t="inlineStr">
        <is>
          <t>Aug-26</t>
        </is>
      </c>
      <c r="K79" s="14" t="inlineStr">
        <is>
          <t>Sep-26</t>
        </is>
      </c>
      <c r="L79" s="14" t="inlineStr">
        <is>
          <t>Oct-26</t>
        </is>
      </c>
      <c r="M79" s="14" t="inlineStr">
        <is>
          <t>Nov-26</t>
        </is>
      </c>
      <c r="N79" s="14" t="inlineStr">
        <is>
          <t>Dec-26</t>
        </is>
      </c>
      <c r="O79" s="14" t="inlineStr">
        <is>
          <t>FY26</t>
        </is>
      </c>
    </row>
    <row r="80">
      <c r="B80" t="inlineStr">
        <is>
          <t>Total net hires / (exits)</t>
        </is>
      </c>
      <c r="C80" s="23">
        <f>C76-C16</f>
        <v/>
      </c>
      <c r="D80" s="23">
        <f>D76-D16</f>
        <v/>
      </c>
      <c r="E80" s="23">
        <f>E76-E16</f>
        <v/>
      </c>
      <c r="F80" s="23">
        <f>F76-F16</f>
        <v/>
      </c>
      <c r="G80" s="23">
        <f>G76-G16</f>
        <v/>
      </c>
      <c r="H80" s="23">
        <f>H76-H16</f>
        <v/>
      </c>
      <c r="I80" s="23">
        <f>I76-I16</f>
        <v/>
      </c>
      <c r="J80" s="23">
        <f>J76-J16</f>
        <v/>
      </c>
      <c r="K80" s="23">
        <f>K76-K16</f>
        <v/>
      </c>
      <c r="L80" s="23">
        <f>L76-L16</f>
        <v/>
      </c>
      <c r="M80" s="23">
        <f>M76-M16</f>
        <v/>
      </c>
      <c r="N80" s="23">
        <f>N76-N16</f>
        <v/>
      </c>
      <c r="O80" s="19">
        <f>N76-C16</f>
        <v/>
      </c>
    </row>
    <row r="82">
      <c r="B82" s="10" t="inlineStr">
        <is>
          <t>Hires are starts, not requisitions. A 2-month lead time is already baked into the month a hire is booked.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B2:O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Loaded cost rollforward  ($000s)</t>
        </is>
      </c>
    </row>
    <row r="3">
      <c r="B3" s="3" t="inlineStr">
        <is>
          <t>Monthly cost = average FTE × (annual loaded / 12) × raise factor. Raise factor steps up in the merit month.</t>
        </is>
      </c>
    </row>
    <row r="5">
      <c r="B5" s="12" t="inlineStr">
        <is>
          <t>Raise factor by month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>
      <c r="C6" s="14" t="inlineStr">
        <is>
          <t>Jan-26</t>
        </is>
      </c>
      <c r="D6" s="14" t="inlineStr">
        <is>
          <t>Feb-26</t>
        </is>
      </c>
      <c r="E6" s="14" t="inlineStr">
        <is>
          <t>Mar-26</t>
        </is>
      </c>
      <c r="F6" s="14" t="inlineStr">
        <is>
          <t>Apr-26</t>
        </is>
      </c>
      <c r="G6" s="14" t="inlineStr">
        <is>
          <t>May-26</t>
        </is>
      </c>
      <c r="H6" s="14" t="inlineStr">
        <is>
          <t>Jun-26</t>
        </is>
      </c>
      <c r="I6" s="14" t="inlineStr">
        <is>
          <t>Jul-26</t>
        </is>
      </c>
      <c r="J6" s="14" t="inlineStr">
        <is>
          <t>Aug-26</t>
        </is>
      </c>
      <c r="K6" s="14" t="inlineStr">
        <is>
          <t>Sep-26</t>
        </is>
      </c>
      <c r="L6" s="14" t="inlineStr">
        <is>
          <t>Oct-26</t>
        </is>
      </c>
      <c r="M6" s="14" t="inlineStr">
        <is>
          <t>Nov-26</t>
        </is>
      </c>
      <c r="N6" s="14" t="inlineStr">
        <is>
          <t>Dec-26</t>
        </is>
      </c>
      <c r="O6" s="14" t="inlineStr">
        <is>
          <t>FY26</t>
        </is>
      </c>
    </row>
    <row r="7">
      <c r="B7" t="inlineStr">
        <is>
          <t>Raise factor</t>
        </is>
      </c>
      <c r="C7" s="24">
        <f>IF(1&gt;='01_Assumptions'!$C$7,1+'01_Assumptions'!$C$6,1)</f>
        <v/>
      </c>
      <c r="D7" s="24">
        <f>IF(2&gt;='01_Assumptions'!$C$7,1+'01_Assumptions'!$C$6,1)</f>
        <v/>
      </c>
      <c r="E7" s="24">
        <f>IF(3&gt;='01_Assumptions'!$C$7,1+'01_Assumptions'!$C$6,1)</f>
        <v/>
      </c>
      <c r="F7" s="24">
        <f>IF(4&gt;='01_Assumptions'!$C$7,1+'01_Assumptions'!$C$6,1)</f>
        <v/>
      </c>
      <c r="G7" s="24">
        <f>IF(5&gt;='01_Assumptions'!$C$7,1+'01_Assumptions'!$C$6,1)</f>
        <v/>
      </c>
      <c r="H7" s="24">
        <f>IF(6&gt;='01_Assumptions'!$C$7,1+'01_Assumptions'!$C$6,1)</f>
        <v/>
      </c>
      <c r="I7" s="24">
        <f>IF(7&gt;='01_Assumptions'!$C$7,1+'01_Assumptions'!$C$6,1)</f>
        <v/>
      </c>
      <c r="J7" s="24">
        <f>IF(8&gt;='01_Assumptions'!$C$7,1+'01_Assumptions'!$C$6,1)</f>
        <v/>
      </c>
      <c r="K7" s="24">
        <f>IF(9&gt;='01_Assumptions'!$C$7,1+'01_Assumptions'!$C$6,1)</f>
        <v/>
      </c>
      <c r="L7" s="24">
        <f>IF(10&gt;='01_Assumptions'!$C$7,1+'01_Assumptions'!$C$6,1)</f>
        <v/>
      </c>
      <c r="M7" s="24">
        <f>IF(11&gt;='01_Assumptions'!$C$7,1+'01_Assumptions'!$C$6,1)</f>
        <v/>
      </c>
      <c r="N7" s="24">
        <f>IF(12&gt;='01_Assumptions'!$C$7,1+'01_Assumptions'!$C$6,1)</f>
        <v/>
      </c>
      <c r="O7" s="24">
        <f>N7</f>
        <v/>
      </c>
    </row>
    <row r="9">
      <c r="B9" s="12" t="inlineStr">
        <is>
          <t>Plan loaded cost by department ($000s)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>
      <c r="C10" s="14" t="inlineStr">
        <is>
          <t>Jan-26</t>
        </is>
      </c>
      <c r="D10" s="14" t="inlineStr">
        <is>
          <t>Feb-26</t>
        </is>
      </c>
      <c r="E10" s="14" t="inlineStr">
        <is>
          <t>Mar-26</t>
        </is>
      </c>
      <c r="F10" s="14" t="inlineStr">
        <is>
          <t>Apr-26</t>
        </is>
      </c>
      <c r="G10" s="14" t="inlineStr">
        <is>
          <t>May-26</t>
        </is>
      </c>
      <c r="H10" s="14" t="inlineStr">
        <is>
          <t>Jun-26</t>
        </is>
      </c>
      <c r="I10" s="14" t="inlineStr">
        <is>
          <t>Jul-26</t>
        </is>
      </c>
      <c r="J10" s="14" t="inlineStr">
        <is>
          <t>Aug-26</t>
        </is>
      </c>
      <c r="K10" s="14" t="inlineStr">
        <is>
          <t>Sep-26</t>
        </is>
      </c>
      <c r="L10" s="14" t="inlineStr">
        <is>
          <t>Oct-26</t>
        </is>
      </c>
      <c r="M10" s="14" t="inlineStr">
        <is>
          <t>Nov-26</t>
        </is>
      </c>
      <c r="N10" s="14" t="inlineStr">
        <is>
          <t>Dec-26</t>
        </is>
      </c>
      <c r="O10" s="14" t="inlineStr">
        <is>
          <t>FY26 $</t>
        </is>
      </c>
    </row>
    <row r="11">
      <c r="B11" s="22" t="inlineStr">
        <is>
          <t>Operations</t>
        </is>
      </c>
      <c r="C11" s="20">
        <f>(('02_Headcount_Plan'!C8+'02_Headcount_Plan'!C68)/2)*('01_Assumptions'!$D$12/12)*C$7</f>
        <v/>
      </c>
      <c r="D11" s="20">
        <f>(('02_Headcount_Plan'!D8+'02_Headcount_Plan'!D68)/2)*('01_Assumptions'!$D$12/12)*D$7</f>
        <v/>
      </c>
      <c r="E11" s="20">
        <f>(('02_Headcount_Plan'!E8+'02_Headcount_Plan'!E68)/2)*('01_Assumptions'!$D$12/12)*E$7</f>
        <v/>
      </c>
      <c r="F11" s="20">
        <f>(('02_Headcount_Plan'!F8+'02_Headcount_Plan'!F68)/2)*('01_Assumptions'!$D$12/12)*F$7</f>
        <v/>
      </c>
      <c r="G11" s="20">
        <f>(('02_Headcount_Plan'!G8+'02_Headcount_Plan'!G68)/2)*('01_Assumptions'!$D$12/12)*G$7</f>
        <v/>
      </c>
      <c r="H11" s="20">
        <f>(('02_Headcount_Plan'!H8+'02_Headcount_Plan'!H68)/2)*('01_Assumptions'!$D$12/12)*H$7</f>
        <v/>
      </c>
      <c r="I11" s="20">
        <f>(('02_Headcount_Plan'!I8+'02_Headcount_Plan'!I68)/2)*('01_Assumptions'!$D$12/12)*I$7</f>
        <v/>
      </c>
      <c r="J11" s="20">
        <f>(('02_Headcount_Plan'!J8+'02_Headcount_Plan'!J68)/2)*('01_Assumptions'!$D$12/12)*J$7</f>
        <v/>
      </c>
      <c r="K11" s="20">
        <f>(('02_Headcount_Plan'!K8+'02_Headcount_Plan'!K68)/2)*('01_Assumptions'!$D$12/12)*K$7</f>
        <v/>
      </c>
      <c r="L11" s="20">
        <f>(('02_Headcount_Plan'!L8+'02_Headcount_Plan'!L68)/2)*('01_Assumptions'!$D$12/12)*L$7</f>
        <v/>
      </c>
      <c r="M11" s="20">
        <f>(('02_Headcount_Plan'!M8+'02_Headcount_Plan'!M68)/2)*('01_Assumptions'!$D$12/12)*M$7</f>
        <v/>
      </c>
      <c r="N11" s="20">
        <f>(('02_Headcount_Plan'!N8+'02_Headcount_Plan'!N68)/2)*('01_Assumptions'!$D$12/12)*N$7</f>
        <v/>
      </c>
      <c r="O11" s="25">
        <f>SUM(C11:N11)</f>
        <v/>
      </c>
    </row>
    <row r="12">
      <c r="B12" s="22" t="inlineStr">
        <is>
          <t>Supply Chain</t>
        </is>
      </c>
      <c r="C12" s="20">
        <f>(('02_Headcount_Plan'!C9+'02_Headcount_Plan'!C69)/2)*('01_Assumptions'!$D$13/12)*C$7</f>
        <v/>
      </c>
      <c r="D12" s="20">
        <f>(('02_Headcount_Plan'!D9+'02_Headcount_Plan'!D69)/2)*('01_Assumptions'!$D$13/12)*D$7</f>
        <v/>
      </c>
      <c r="E12" s="20">
        <f>(('02_Headcount_Plan'!E9+'02_Headcount_Plan'!E69)/2)*('01_Assumptions'!$D$13/12)*E$7</f>
        <v/>
      </c>
      <c r="F12" s="20">
        <f>(('02_Headcount_Plan'!F9+'02_Headcount_Plan'!F69)/2)*('01_Assumptions'!$D$13/12)*F$7</f>
        <v/>
      </c>
      <c r="G12" s="20">
        <f>(('02_Headcount_Plan'!G9+'02_Headcount_Plan'!G69)/2)*('01_Assumptions'!$D$13/12)*G$7</f>
        <v/>
      </c>
      <c r="H12" s="20">
        <f>(('02_Headcount_Plan'!H9+'02_Headcount_Plan'!H69)/2)*('01_Assumptions'!$D$13/12)*H$7</f>
        <v/>
      </c>
      <c r="I12" s="20">
        <f>(('02_Headcount_Plan'!I9+'02_Headcount_Plan'!I69)/2)*('01_Assumptions'!$D$13/12)*I$7</f>
        <v/>
      </c>
      <c r="J12" s="20">
        <f>(('02_Headcount_Plan'!J9+'02_Headcount_Plan'!J69)/2)*('01_Assumptions'!$D$13/12)*J$7</f>
        <v/>
      </c>
      <c r="K12" s="20">
        <f>(('02_Headcount_Plan'!K9+'02_Headcount_Plan'!K69)/2)*('01_Assumptions'!$D$13/12)*K$7</f>
        <v/>
      </c>
      <c r="L12" s="20">
        <f>(('02_Headcount_Plan'!L9+'02_Headcount_Plan'!L69)/2)*('01_Assumptions'!$D$13/12)*L$7</f>
        <v/>
      </c>
      <c r="M12" s="20">
        <f>(('02_Headcount_Plan'!M9+'02_Headcount_Plan'!M69)/2)*('01_Assumptions'!$D$13/12)*M$7</f>
        <v/>
      </c>
      <c r="N12" s="20">
        <f>(('02_Headcount_Plan'!N9+'02_Headcount_Plan'!N69)/2)*('01_Assumptions'!$D$13/12)*N$7</f>
        <v/>
      </c>
      <c r="O12" s="25">
        <f>SUM(C12:N12)</f>
        <v/>
      </c>
    </row>
    <row r="13">
      <c r="B13" s="22" t="inlineStr">
        <is>
          <t>Sales</t>
        </is>
      </c>
      <c r="C13" s="20">
        <f>(('02_Headcount_Plan'!C10+'02_Headcount_Plan'!C70)/2)*('01_Assumptions'!$D$14/12)*C$7</f>
        <v/>
      </c>
      <c r="D13" s="20">
        <f>(('02_Headcount_Plan'!D10+'02_Headcount_Plan'!D70)/2)*('01_Assumptions'!$D$14/12)*D$7</f>
        <v/>
      </c>
      <c r="E13" s="20">
        <f>(('02_Headcount_Plan'!E10+'02_Headcount_Plan'!E70)/2)*('01_Assumptions'!$D$14/12)*E$7</f>
        <v/>
      </c>
      <c r="F13" s="20">
        <f>(('02_Headcount_Plan'!F10+'02_Headcount_Plan'!F70)/2)*('01_Assumptions'!$D$14/12)*F$7</f>
        <v/>
      </c>
      <c r="G13" s="20">
        <f>(('02_Headcount_Plan'!G10+'02_Headcount_Plan'!G70)/2)*('01_Assumptions'!$D$14/12)*G$7</f>
        <v/>
      </c>
      <c r="H13" s="20">
        <f>(('02_Headcount_Plan'!H10+'02_Headcount_Plan'!H70)/2)*('01_Assumptions'!$D$14/12)*H$7</f>
        <v/>
      </c>
      <c r="I13" s="20">
        <f>(('02_Headcount_Plan'!I10+'02_Headcount_Plan'!I70)/2)*('01_Assumptions'!$D$14/12)*I$7</f>
        <v/>
      </c>
      <c r="J13" s="20">
        <f>(('02_Headcount_Plan'!J10+'02_Headcount_Plan'!J70)/2)*('01_Assumptions'!$D$14/12)*J$7</f>
        <v/>
      </c>
      <c r="K13" s="20">
        <f>(('02_Headcount_Plan'!K10+'02_Headcount_Plan'!K70)/2)*('01_Assumptions'!$D$14/12)*K$7</f>
        <v/>
      </c>
      <c r="L13" s="20">
        <f>(('02_Headcount_Plan'!L10+'02_Headcount_Plan'!L70)/2)*('01_Assumptions'!$D$14/12)*L$7</f>
        <v/>
      </c>
      <c r="M13" s="20">
        <f>(('02_Headcount_Plan'!M10+'02_Headcount_Plan'!M70)/2)*('01_Assumptions'!$D$14/12)*M$7</f>
        <v/>
      </c>
      <c r="N13" s="20">
        <f>(('02_Headcount_Plan'!N10+'02_Headcount_Plan'!N70)/2)*('01_Assumptions'!$D$14/12)*N$7</f>
        <v/>
      </c>
      <c r="O13" s="25">
        <f>SUM(C13:N13)</f>
        <v/>
      </c>
    </row>
    <row r="14">
      <c r="B14" s="22" t="inlineStr">
        <is>
          <t>Marketing</t>
        </is>
      </c>
      <c r="C14" s="20">
        <f>(('02_Headcount_Plan'!C11+'02_Headcount_Plan'!C71)/2)*('01_Assumptions'!$D$15/12)*C$7</f>
        <v/>
      </c>
      <c r="D14" s="20">
        <f>(('02_Headcount_Plan'!D11+'02_Headcount_Plan'!D71)/2)*('01_Assumptions'!$D$15/12)*D$7</f>
        <v/>
      </c>
      <c r="E14" s="20">
        <f>(('02_Headcount_Plan'!E11+'02_Headcount_Plan'!E71)/2)*('01_Assumptions'!$D$15/12)*E$7</f>
        <v/>
      </c>
      <c r="F14" s="20">
        <f>(('02_Headcount_Plan'!F11+'02_Headcount_Plan'!F71)/2)*('01_Assumptions'!$D$15/12)*F$7</f>
        <v/>
      </c>
      <c r="G14" s="20">
        <f>(('02_Headcount_Plan'!G11+'02_Headcount_Plan'!G71)/2)*('01_Assumptions'!$D$15/12)*G$7</f>
        <v/>
      </c>
      <c r="H14" s="20">
        <f>(('02_Headcount_Plan'!H11+'02_Headcount_Plan'!H71)/2)*('01_Assumptions'!$D$15/12)*H$7</f>
        <v/>
      </c>
      <c r="I14" s="20">
        <f>(('02_Headcount_Plan'!I11+'02_Headcount_Plan'!I71)/2)*('01_Assumptions'!$D$15/12)*I$7</f>
        <v/>
      </c>
      <c r="J14" s="20">
        <f>(('02_Headcount_Plan'!J11+'02_Headcount_Plan'!J71)/2)*('01_Assumptions'!$D$15/12)*J$7</f>
        <v/>
      </c>
      <c r="K14" s="20">
        <f>(('02_Headcount_Plan'!K11+'02_Headcount_Plan'!K71)/2)*('01_Assumptions'!$D$15/12)*K$7</f>
        <v/>
      </c>
      <c r="L14" s="20">
        <f>(('02_Headcount_Plan'!L11+'02_Headcount_Plan'!L71)/2)*('01_Assumptions'!$D$15/12)*L$7</f>
        <v/>
      </c>
      <c r="M14" s="20">
        <f>(('02_Headcount_Plan'!M11+'02_Headcount_Plan'!M71)/2)*('01_Assumptions'!$D$15/12)*M$7</f>
        <v/>
      </c>
      <c r="N14" s="20">
        <f>(('02_Headcount_Plan'!N11+'02_Headcount_Plan'!N71)/2)*('01_Assumptions'!$D$15/12)*N$7</f>
        <v/>
      </c>
      <c r="O14" s="25">
        <f>SUM(C14:N14)</f>
        <v/>
      </c>
    </row>
    <row r="15">
      <c r="B15" s="22" t="inlineStr">
        <is>
          <t>Finance</t>
        </is>
      </c>
      <c r="C15" s="20">
        <f>(('02_Headcount_Plan'!C12+'02_Headcount_Plan'!C72)/2)*('01_Assumptions'!$D$16/12)*C$7</f>
        <v/>
      </c>
      <c r="D15" s="20">
        <f>(('02_Headcount_Plan'!D12+'02_Headcount_Plan'!D72)/2)*('01_Assumptions'!$D$16/12)*D$7</f>
        <v/>
      </c>
      <c r="E15" s="20">
        <f>(('02_Headcount_Plan'!E12+'02_Headcount_Plan'!E72)/2)*('01_Assumptions'!$D$16/12)*E$7</f>
        <v/>
      </c>
      <c r="F15" s="20">
        <f>(('02_Headcount_Plan'!F12+'02_Headcount_Plan'!F72)/2)*('01_Assumptions'!$D$16/12)*F$7</f>
        <v/>
      </c>
      <c r="G15" s="20">
        <f>(('02_Headcount_Plan'!G12+'02_Headcount_Plan'!G72)/2)*('01_Assumptions'!$D$16/12)*G$7</f>
        <v/>
      </c>
      <c r="H15" s="20">
        <f>(('02_Headcount_Plan'!H12+'02_Headcount_Plan'!H72)/2)*('01_Assumptions'!$D$16/12)*H$7</f>
        <v/>
      </c>
      <c r="I15" s="20">
        <f>(('02_Headcount_Plan'!I12+'02_Headcount_Plan'!I72)/2)*('01_Assumptions'!$D$16/12)*I$7</f>
        <v/>
      </c>
      <c r="J15" s="20">
        <f>(('02_Headcount_Plan'!J12+'02_Headcount_Plan'!J72)/2)*('01_Assumptions'!$D$16/12)*J$7</f>
        <v/>
      </c>
      <c r="K15" s="20">
        <f>(('02_Headcount_Plan'!K12+'02_Headcount_Plan'!K72)/2)*('01_Assumptions'!$D$16/12)*K$7</f>
        <v/>
      </c>
      <c r="L15" s="20">
        <f>(('02_Headcount_Plan'!L12+'02_Headcount_Plan'!L72)/2)*('01_Assumptions'!$D$16/12)*L$7</f>
        <v/>
      </c>
      <c r="M15" s="20">
        <f>(('02_Headcount_Plan'!M12+'02_Headcount_Plan'!M72)/2)*('01_Assumptions'!$D$16/12)*M$7</f>
        <v/>
      </c>
      <c r="N15" s="20">
        <f>(('02_Headcount_Plan'!N12+'02_Headcount_Plan'!N72)/2)*('01_Assumptions'!$D$16/12)*N$7</f>
        <v/>
      </c>
      <c r="O15" s="25">
        <f>SUM(C15:N15)</f>
        <v/>
      </c>
    </row>
    <row r="16">
      <c r="B16" s="22" t="inlineStr">
        <is>
          <t>HR</t>
        </is>
      </c>
      <c r="C16" s="20">
        <f>(('02_Headcount_Plan'!C13+'02_Headcount_Plan'!C73)/2)*('01_Assumptions'!$D$17/12)*C$7</f>
        <v/>
      </c>
      <c r="D16" s="20">
        <f>(('02_Headcount_Plan'!D13+'02_Headcount_Plan'!D73)/2)*('01_Assumptions'!$D$17/12)*D$7</f>
        <v/>
      </c>
      <c r="E16" s="20">
        <f>(('02_Headcount_Plan'!E13+'02_Headcount_Plan'!E73)/2)*('01_Assumptions'!$D$17/12)*E$7</f>
        <v/>
      </c>
      <c r="F16" s="20">
        <f>(('02_Headcount_Plan'!F13+'02_Headcount_Plan'!F73)/2)*('01_Assumptions'!$D$17/12)*F$7</f>
        <v/>
      </c>
      <c r="G16" s="20">
        <f>(('02_Headcount_Plan'!G13+'02_Headcount_Plan'!G73)/2)*('01_Assumptions'!$D$17/12)*G$7</f>
        <v/>
      </c>
      <c r="H16" s="20">
        <f>(('02_Headcount_Plan'!H13+'02_Headcount_Plan'!H73)/2)*('01_Assumptions'!$D$17/12)*H$7</f>
        <v/>
      </c>
      <c r="I16" s="20">
        <f>(('02_Headcount_Plan'!I13+'02_Headcount_Plan'!I73)/2)*('01_Assumptions'!$D$17/12)*I$7</f>
        <v/>
      </c>
      <c r="J16" s="20">
        <f>(('02_Headcount_Plan'!J13+'02_Headcount_Plan'!J73)/2)*('01_Assumptions'!$D$17/12)*J$7</f>
        <v/>
      </c>
      <c r="K16" s="20">
        <f>(('02_Headcount_Plan'!K13+'02_Headcount_Plan'!K73)/2)*('01_Assumptions'!$D$17/12)*K$7</f>
        <v/>
      </c>
      <c r="L16" s="20">
        <f>(('02_Headcount_Plan'!L13+'02_Headcount_Plan'!L73)/2)*('01_Assumptions'!$D$17/12)*L$7</f>
        <v/>
      </c>
      <c r="M16" s="20">
        <f>(('02_Headcount_Plan'!M13+'02_Headcount_Plan'!M73)/2)*('01_Assumptions'!$D$17/12)*M$7</f>
        <v/>
      </c>
      <c r="N16" s="20">
        <f>(('02_Headcount_Plan'!N13+'02_Headcount_Plan'!N73)/2)*('01_Assumptions'!$D$17/12)*N$7</f>
        <v/>
      </c>
      <c r="O16" s="25">
        <f>SUM(C16:N16)</f>
        <v/>
      </c>
    </row>
    <row r="17">
      <c r="B17" s="22" t="inlineStr">
        <is>
          <t>Quality / R&amp;D</t>
        </is>
      </c>
      <c r="C17" s="20">
        <f>(('02_Headcount_Plan'!C14+'02_Headcount_Plan'!C74)/2)*('01_Assumptions'!$D$18/12)*C$7</f>
        <v/>
      </c>
      <c r="D17" s="20">
        <f>(('02_Headcount_Plan'!D14+'02_Headcount_Plan'!D74)/2)*('01_Assumptions'!$D$18/12)*D$7</f>
        <v/>
      </c>
      <c r="E17" s="20">
        <f>(('02_Headcount_Plan'!E14+'02_Headcount_Plan'!E74)/2)*('01_Assumptions'!$D$18/12)*E$7</f>
        <v/>
      </c>
      <c r="F17" s="20">
        <f>(('02_Headcount_Plan'!F14+'02_Headcount_Plan'!F74)/2)*('01_Assumptions'!$D$18/12)*F$7</f>
        <v/>
      </c>
      <c r="G17" s="20">
        <f>(('02_Headcount_Plan'!G14+'02_Headcount_Plan'!G74)/2)*('01_Assumptions'!$D$18/12)*G$7</f>
        <v/>
      </c>
      <c r="H17" s="20">
        <f>(('02_Headcount_Plan'!H14+'02_Headcount_Plan'!H74)/2)*('01_Assumptions'!$D$18/12)*H$7</f>
        <v/>
      </c>
      <c r="I17" s="20">
        <f>(('02_Headcount_Plan'!I14+'02_Headcount_Plan'!I74)/2)*('01_Assumptions'!$D$18/12)*I$7</f>
        <v/>
      </c>
      <c r="J17" s="20">
        <f>(('02_Headcount_Plan'!J14+'02_Headcount_Plan'!J74)/2)*('01_Assumptions'!$D$18/12)*J$7</f>
        <v/>
      </c>
      <c r="K17" s="20">
        <f>(('02_Headcount_Plan'!K14+'02_Headcount_Plan'!K74)/2)*('01_Assumptions'!$D$18/12)*K$7</f>
        <v/>
      </c>
      <c r="L17" s="20">
        <f>(('02_Headcount_Plan'!L14+'02_Headcount_Plan'!L74)/2)*('01_Assumptions'!$D$18/12)*L$7</f>
        <v/>
      </c>
      <c r="M17" s="20">
        <f>(('02_Headcount_Plan'!M14+'02_Headcount_Plan'!M74)/2)*('01_Assumptions'!$D$18/12)*M$7</f>
        <v/>
      </c>
      <c r="N17" s="20">
        <f>(('02_Headcount_Plan'!N14+'02_Headcount_Plan'!N74)/2)*('01_Assumptions'!$D$18/12)*N$7</f>
        <v/>
      </c>
      <c r="O17" s="25">
        <f>SUM(C17:N17)</f>
        <v/>
      </c>
    </row>
    <row r="18">
      <c r="B18" s="22" t="inlineStr">
        <is>
          <t>G&amp;A / IT</t>
        </is>
      </c>
      <c r="C18" s="20">
        <f>(('02_Headcount_Plan'!C15+'02_Headcount_Plan'!C75)/2)*('01_Assumptions'!$D$19/12)*C$7</f>
        <v/>
      </c>
      <c r="D18" s="20">
        <f>(('02_Headcount_Plan'!D15+'02_Headcount_Plan'!D75)/2)*('01_Assumptions'!$D$19/12)*D$7</f>
        <v/>
      </c>
      <c r="E18" s="20">
        <f>(('02_Headcount_Plan'!E15+'02_Headcount_Plan'!E75)/2)*('01_Assumptions'!$D$19/12)*E$7</f>
        <v/>
      </c>
      <c r="F18" s="20">
        <f>(('02_Headcount_Plan'!F15+'02_Headcount_Plan'!F75)/2)*('01_Assumptions'!$D$19/12)*F$7</f>
        <v/>
      </c>
      <c r="G18" s="20">
        <f>(('02_Headcount_Plan'!G15+'02_Headcount_Plan'!G75)/2)*('01_Assumptions'!$D$19/12)*G$7</f>
        <v/>
      </c>
      <c r="H18" s="20">
        <f>(('02_Headcount_Plan'!H15+'02_Headcount_Plan'!H75)/2)*('01_Assumptions'!$D$19/12)*H$7</f>
        <v/>
      </c>
      <c r="I18" s="20">
        <f>(('02_Headcount_Plan'!I15+'02_Headcount_Plan'!I75)/2)*('01_Assumptions'!$D$19/12)*I$7</f>
        <v/>
      </c>
      <c r="J18" s="20">
        <f>(('02_Headcount_Plan'!J15+'02_Headcount_Plan'!J75)/2)*('01_Assumptions'!$D$19/12)*J$7</f>
        <v/>
      </c>
      <c r="K18" s="20">
        <f>(('02_Headcount_Plan'!K15+'02_Headcount_Plan'!K75)/2)*('01_Assumptions'!$D$19/12)*K$7</f>
        <v/>
      </c>
      <c r="L18" s="20">
        <f>(('02_Headcount_Plan'!L15+'02_Headcount_Plan'!L75)/2)*('01_Assumptions'!$D$19/12)*L$7</f>
        <v/>
      </c>
      <c r="M18" s="20">
        <f>(('02_Headcount_Plan'!M15+'02_Headcount_Plan'!M75)/2)*('01_Assumptions'!$D$19/12)*M$7</f>
        <v/>
      </c>
      <c r="N18" s="20">
        <f>(('02_Headcount_Plan'!N15+'02_Headcount_Plan'!N75)/2)*('01_Assumptions'!$D$19/12)*N$7</f>
        <v/>
      </c>
      <c r="O18" s="25">
        <f>SUM(C18:N18)</f>
        <v/>
      </c>
    </row>
    <row r="19">
      <c r="B19" s="15" t="inlineStr">
        <is>
          <t>Plan total</t>
        </is>
      </c>
      <c r="C19" s="25">
        <f>SUM(C11:C18)</f>
        <v/>
      </c>
      <c r="D19" s="25">
        <f>SUM(D11:D18)</f>
        <v/>
      </c>
      <c r="E19" s="25">
        <f>SUM(E11:E18)</f>
        <v/>
      </c>
      <c r="F19" s="25">
        <f>SUM(F11:F18)</f>
        <v/>
      </c>
      <c r="G19" s="25">
        <f>SUM(G11:G18)</f>
        <v/>
      </c>
      <c r="H19" s="25">
        <f>SUM(H11:H18)</f>
        <v/>
      </c>
      <c r="I19" s="25">
        <f>SUM(I11:I18)</f>
        <v/>
      </c>
      <c r="J19" s="25">
        <f>SUM(J11:J18)</f>
        <v/>
      </c>
      <c r="K19" s="25">
        <f>SUM(K11:K18)</f>
        <v/>
      </c>
      <c r="L19" s="25">
        <f>SUM(L11:L18)</f>
        <v/>
      </c>
      <c r="M19" s="25">
        <f>SUM(M11:M18)</f>
        <v/>
      </c>
      <c r="N19" s="25">
        <f>SUM(N11:N18)</f>
        <v/>
      </c>
      <c r="O19" s="25">
        <f>SUM(O11:O18)</f>
        <v/>
      </c>
    </row>
    <row r="21">
      <c r="B21" s="12" t="inlineStr">
        <is>
          <t>Forecast loaded cost by department ($000s)  — FTE from 04_Reforecast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>
      <c r="C22" s="14" t="inlineStr">
        <is>
          <t>Jan-26</t>
        </is>
      </c>
      <c r="D22" s="14" t="inlineStr">
        <is>
          <t>Feb-26</t>
        </is>
      </c>
      <c r="E22" s="14" t="inlineStr">
        <is>
          <t>Mar-26</t>
        </is>
      </c>
      <c r="F22" s="14" t="inlineStr">
        <is>
          <t>Apr-26</t>
        </is>
      </c>
      <c r="G22" s="14" t="inlineStr">
        <is>
          <t>May-26</t>
        </is>
      </c>
      <c r="H22" s="14" t="inlineStr">
        <is>
          <t>Jun-26</t>
        </is>
      </c>
      <c r="I22" s="14" t="inlineStr">
        <is>
          <t>Jul-26</t>
        </is>
      </c>
      <c r="J22" s="14" t="inlineStr">
        <is>
          <t>Aug-26</t>
        </is>
      </c>
      <c r="K22" s="14" t="inlineStr">
        <is>
          <t>Sep-26</t>
        </is>
      </c>
      <c r="L22" s="14" t="inlineStr">
        <is>
          <t>Oct-26</t>
        </is>
      </c>
      <c r="M22" s="14" t="inlineStr">
        <is>
          <t>Nov-26</t>
        </is>
      </c>
      <c r="N22" s="14" t="inlineStr">
        <is>
          <t>Dec-26</t>
        </is>
      </c>
      <c r="O22" s="14" t="inlineStr">
        <is>
          <t>FY26 $</t>
        </is>
      </c>
    </row>
    <row r="23">
      <c r="B23" s="22" t="inlineStr">
        <is>
          <t>Operations</t>
        </is>
      </c>
      <c r="C23" s="20">
        <f>(('04_Reforecast'!C8+'04_Reforecast'!C68)/2)*('01_Assumptions'!$D$12/12)*C$7</f>
        <v/>
      </c>
      <c r="D23" s="20">
        <f>(('04_Reforecast'!D8+'04_Reforecast'!D68)/2)*('01_Assumptions'!$D$12/12)*D$7</f>
        <v/>
      </c>
      <c r="E23" s="20">
        <f>(('04_Reforecast'!E8+'04_Reforecast'!E68)/2)*('01_Assumptions'!$D$12/12)*E$7</f>
        <v/>
      </c>
      <c r="F23" s="20">
        <f>(('04_Reforecast'!F8+'04_Reforecast'!F68)/2)*('01_Assumptions'!$D$12/12)*F$7</f>
        <v/>
      </c>
      <c r="G23" s="20">
        <f>(('04_Reforecast'!G8+'04_Reforecast'!G68)/2)*('01_Assumptions'!$D$12/12)*G$7</f>
        <v/>
      </c>
      <c r="H23" s="20">
        <f>(('04_Reforecast'!H8+'04_Reforecast'!H68)/2)*('01_Assumptions'!$D$12/12)*H$7</f>
        <v/>
      </c>
      <c r="I23" s="20">
        <f>(('04_Reforecast'!I8+'04_Reforecast'!I68)/2)*('01_Assumptions'!$D$12/12)*I$7</f>
        <v/>
      </c>
      <c r="J23" s="20">
        <f>(('04_Reforecast'!J8+'04_Reforecast'!J68)/2)*('01_Assumptions'!$D$12/12)*J$7</f>
        <v/>
      </c>
      <c r="K23" s="20">
        <f>(('04_Reforecast'!K8+'04_Reforecast'!K68)/2)*('01_Assumptions'!$D$12/12)*K$7</f>
        <v/>
      </c>
      <c r="L23" s="20">
        <f>(('04_Reforecast'!L8+'04_Reforecast'!L68)/2)*('01_Assumptions'!$D$12/12)*L$7</f>
        <v/>
      </c>
      <c r="M23" s="20">
        <f>(('04_Reforecast'!M8+'04_Reforecast'!M68)/2)*('01_Assumptions'!$D$12/12)*M$7</f>
        <v/>
      </c>
      <c r="N23" s="20">
        <f>(('04_Reforecast'!N8+'04_Reforecast'!N68)/2)*('01_Assumptions'!$D$12/12)*N$7</f>
        <v/>
      </c>
      <c r="O23" s="25">
        <f>SUM(C23:N23)</f>
        <v/>
      </c>
    </row>
    <row r="24">
      <c r="B24" s="22" t="inlineStr">
        <is>
          <t>Supply Chain</t>
        </is>
      </c>
      <c r="C24" s="20">
        <f>(('04_Reforecast'!C9+'04_Reforecast'!C69)/2)*('01_Assumptions'!$D$13/12)*C$7</f>
        <v/>
      </c>
      <c r="D24" s="20">
        <f>(('04_Reforecast'!D9+'04_Reforecast'!D69)/2)*('01_Assumptions'!$D$13/12)*D$7</f>
        <v/>
      </c>
      <c r="E24" s="20">
        <f>(('04_Reforecast'!E9+'04_Reforecast'!E69)/2)*('01_Assumptions'!$D$13/12)*E$7</f>
        <v/>
      </c>
      <c r="F24" s="20">
        <f>(('04_Reforecast'!F9+'04_Reforecast'!F69)/2)*('01_Assumptions'!$D$13/12)*F$7</f>
        <v/>
      </c>
      <c r="G24" s="20">
        <f>(('04_Reforecast'!G9+'04_Reforecast'!G69)/2)*('01_Assumptions'!$D$13/12)*G$7</f>
        <v/>
      </c>
      <c r="H24" s="20">
        <f>(('04_Reforecast'!H9+'04_Reforecast'!H69)/2)*('01_Assumptions'!$D$13/12)*H$7</f>
        <v/>
      </c>
      <c r="I24" s="20">
        <f>(('04_Reforecast'!I9+'04_Reforecast'!I69)/2)*('01_Assumptions'!$D$13/12)*I$7</f>
        <v/>
      </c>
      <c r="J24" s="20">
        <f>(('04_Reforecast'!J9+'04_Reforecast'!J69)/2)*('01_Assumptions'!$D$13/12)*J$7</f>
        <v/>
      </c>
      <c r="K24" s="20">
        <f>(('04_Reforecast'!K9+'04_Reforecast'!K69)/2)*('01_Assumptions'!$D$13/12)*K$7</f>
        <v/>
      </c>
      <c r="L24" s="20">
        <f>(('04_Reforecast'!L9+'04_Reforecast'!L69)/2)*('01_Assumptions'!$D$13/12)*L$7</f>
        <v/>
      </c>
      <c r="M24" s="20">
        <f>(('04_Reforecast'!M9+'04_Reforecast'!M69)/2)*('01_Assumptions'!$D$13/12)*M$7</f>
        <v/>
      </c>
      <c r="N24" s="20">
        <f>(('04_Reforecast'!N9+'04_Reforecast'!N69)/2)*('01_Assumptions'!$D$13/12)*N$7</f>
        <v/>
      </c>
      <c r="O24" s="25">
        <f>SUM(C24:N24)</f>
        <v/>
      </c>
    </row>
    <row r="25">
      <c r="B25" s="22" t="inlineStr">
        <is>
          <t>Sales</t>
        </is>
      </c>
      <c r="C25" s="20">
        <f>(('04_Reforecast'!C10+'04_Reforecast'!C70)/2)*('01_Assumptions'!$D$14/12)*C$7</f>
        <v/>
      </c>
      <c r="D25" s="20">
        <f>(('04_Reforecast'!D10+'04_Reforecast'!D70)/2)*('01_Assumptions'!$D$14/12)*D$7</f>
        <v/>
      </c>
      <c r="E25" s="20">
        <f>(('04_Reforecast'!E10+'04_Reforecast'!E70)/2)*('01_Assumptions'!$D$14/12)*E$7</f>
        <v/>
      </c>
      <c r="F25" s="20">
        <f>(('04_Reforecast'!F10+'04_Reforecast'!F70)/2)*('01_Assumptions'!$D$14/12)*F$7</f>
        <v/>
      </c>
      <c r="G25" s="20">
        <f>(('04_Reforecast'!G10+'04_Reforecast'!G70)/2)*('01_Assumptions'!$D$14/12)*G$7</f>
        <v/>
      </c>
      <c r="H25" s="20">
        <f>(('04_Reforecast'!H10+'04_Reforecast'!H70)/2)*('01_Assumptions'!$D$14/12)*H$7</f>
        <v/>
      </c>
      <c r="I25" s="20">
        <f>(('04_Reforecast'!I10+'04_Reforecast'!I70)/2)*('01_Assumptions'!$D$14/12)*I$7</f>
        <v/>
      </c>
      <c r="J25" s="20">
        <f>(('04_Reforecast'!J10+'04_Reforecast'!J70)/2)*('01_Assumptions'!$D$14/12)*J$7</f>
        <v/>
      </c>
      <c r="K25" s="20">
        <f>(('04_Reforecast'!K10+'04_Reforecast'!K70)/2)*('01_Assumptions'!$D$14/12)*K$7</f>
        <v/>
      </c>
      <c r="L25" s="20">
        <f>(('04_Reforecast'!L10+'04_Reforecast'!L70)/2)*('01_Assumptions'!$D$14/12)*L$7</f>
        <v/>
      </c>
      <c r="M25" s="20">
        <f>(('04_Reforecast'!M10+'04_Reforecast'!M70)/2)*('01_Assumptions'!$D$14/12)*M$7</f>
        <v/>
      </c>
      <c r="N25" s="20">
        <f>(('04_Reforecast'!N10+'04_Reforecast'!N70)/2)*('01_Assumptions'!$D$14/12)*N$7</f>
        <v/>
      </c>
      <c r="O25" s="25">
        <f>SUM(C25:N25)</f>
        <v/>
      </c>
    </row>
    <row r="26">
      <c r="B26" s="22" t="inlineStr">
        <is>
          <t>Marketing</t>
        </is>
      </c>
      <c r="C26" s="20">
        <f>(('04_Reforecast'!C11+'04_Reforecast'!C71)/2)*('01_Assumptions'!$D$15/12)*C$7</f>
        <v/>
      </c>
      <c r="D26" s="20">
        <f>(('04_Reforecast'!D11+'04_Reforecast'!D71)/2)*('01_Assumptions'!$D$15/12)*D$7</f>
        <v/>
      </c>
      <c r="E26" s="20">
        <f>(('04_Reforecast'!E11+'04_Reforecast'!E71)/2)*('01_Assumptions'!$D$15/12)*E$7</f>
        <v/>
      </c>
      <c r="F26" s="20">
        <f>(('04_Reforecast'!F11+'04_Reforecast'!F71)/2)*('01_Assumptions'!$D$15/12)*F$7</f>
        <v/>
      </c>
      <c r="G26" s="20">
        <f>(('04_Reforecast'!G11+'04_Reforecast'!G71)/2)*('01_Assumptions'!$D$15/12)*G$7</f>
        <v/>
      </c>
      <c r="H26" s="20">
        <f>(('04_Reforecast'!H11+'04_Reforecast'!H71)/2)*('01_Assumptions'!$D$15/12)*H$7</f>
        <v/>
      </c>
      <c r="I26" s="20">
        <f>(('04_Reforecast'!I11+'04_Reforecast'!I71)/2)*('01_Assumptions'!$D$15/12)*I$7</f>
        <v/>
      </c>
      <c r="J26" s="20">
        <f>(('04_Reforecast'!J11+'04_Reforecast'!J71)/2)*('01_Assumptions'!$D$15/12)*J$7</f>
        <v/>
      </c>
      <c r="K26" s="20">
        <f>(('04_Reforecast'!K11+'04_Reforecast'!K71)/2)*('01_Assumptions'!$D$15/12)*K$7</f>
        <v/>
      </c>
      <c r="L26" s="20">
        <f>(('04_Reforecast'!L11+'04_Reforecast'!L71)/2)*('01_Assumptions'!$D$15/12)*L$7</f>
        <v/>
      </c>
      <c r="M26" s="20">
        <f>(('04_Reforecast'!M11+'04_Reforecast'!M71)/2)*('01_Assumptions'!$D$15/12)*M$7</f>
        <v/>
      </c>
      <c r="N26" s="20">
        <f>(('04_Reforecast'!N11+'04_Reforecast'!N71)/2)*('01_Assumptions'!$D$15/12)*N$7</f>
        <v/>
      </c>
      <c r="O26" s="25">
        <f>SUM(C26:N26)</f>
        <v/>
      </c>
    </row>
    <row r="27">
      <c r="B27" s="22" t="inlineStr">
        <is>
          <t>Finance</t>
        </is>
      </c>
      <c r="C27" s="20">
        <f>(('04_Reforecast'!C12+'04_Reforecast'!C72)/2)*('01_Assumptions'!$D$16/12)*C$7</f>
        <v/>
      </c>
      <c r="D27" s="20">
        <f>(('04_Reforecast'!D12+'04_Reforecast'!D72)/2)*('01_Assumptions'!$D$16/12)*D$7</f>
        <v/>
      </c>
      <c r="E27" s="20">
        <f>(('04_Reforecast'!E12+'04_Reforecast'!E72)/2)*('01_Assumptions'!$D$16/12)*E$7</f>
        <v/>
      </c>
      <c r="F27" s="20">
        <f>(('04_Reforecast'!F12+'04_Reforecast'!F72)/2)*('01_Assumptions'!$D$16/12)*F$7</f>
        <v/>
      </c>
      <c r="G27" s="20">
        <f>(('04_Reforecast'!G12+'04_Reforecast'!G72)/2)*('01_Assumptions'!$D$16/12)*G$7</f>
        <v/>
      </c>
      <c r="H27" s="20">
        <f>(('04_Reforecast'!H12+'04_Reforecast'!H72)/2)*('01_Assumptions'!$D$16/12)*H$7</f>
        <v/>
      </c>
      <c r="I27" s="20">
        <f>(('04_Reforecast'!I12+'04_Reforecast'!I72)/2)*('01_Assumptions'!$D$16/12)*I$7</f>
        <v/>
      </c>
      <c r="J27" s="20">
        <f>(('04_Reforecast'!J12+'04_Reforecast'!J72)/2)*('01_Assumptions'!$D$16/12)*J$7</f>
        <v/>
      </c>
      <c r="K27" s="20">
        <f>(('04_Reforecast'!K12+'04_Reforecast'!K72)/2)*('01_Assumptions'!$D$16/12)*K$7</f>
        <v/>
      </c>
      <c r="L27" s="20">
        <f>(('04_Reforecast'!L12+'04_Reforecast'!L72)/2)*('01_Assumptions'!$D$16/12)*L$7</f>
        <v/>
      </c>
      <c r="M27" s="20">
        <f>(('04_Reforecast'!M12+'04_Reforecast'!M72)/2)*('01_Assumptions'!$D$16/12)*M$7</f>
        <v/>
      </c>
      <c r="N27" s="20">
        <f>(('04_Reforecast'!N12+'04_Reforecast'!N72)/2)*('01_Assumptions'!$D$16/12)*N$7</f>
        <v/>
      </c>
      <c r="O27" s="25">
        <f>SUM(C27:N27)</f>
        <v/>
      </c>
    </row>
    <row r="28">
      <c r="B28" s="22" t="inlineStr">
        <is>
          <t>HR</t>
        </is>
      </c>
      <c r="C28" s="20">
        <f>(('04_Reforecast'!C13+'04_Reforecast'!C73)/2)*('01_Assumptions'!$D$17/12)*C$7</f>
        <v/>
      </c>
      <c r="D28" s="20">
        <f>(('04_Reforecast'!D13+'04_Reforecast'!D73)/2)*('01_Assumptions'!$D$17/12)*D$7</f>
        <v/>
      </c>
      <c r="E28" s="20">
        <f>(('04_Reforecast'!E13+'04_Reforecast'!E73)/2)*('01_Assumptions'!$D$17/12)*E$7</f>
        <v/>
      </c>
      <c r="F28" s="20">
        <f>(('04_Reforecast'!F13+'04_Reforecast'!F73)/2)*('01_Assumptions'!$D$17/12)*F$7</f>
        <v/>
      </c>
      <c r="G28" s="20">
        <f>(('04_Reforecast'!G13+'04_Reforecast'!G73)/2)*('01_Assumptions'!$D$17/12)*G$7</f>
        <v/>
      </c>
      <c r="H28" s="20">
        <f>(('04_Reforecast'!H13+'04_Reforecast'!H73)/2)*('01_Assumptions'!$D$17/12)*H$7</f>
        <v/>
      </c>
      <c r="I28" s="20">
        <f>(('04_Reforecast'!I13+'04_Reforecast'!I73)/2)*('01_Assumptions'!$D$17/12)*I$7</f>
        <v/>
      </c>
      <c r="J28" s="20">
        <f>(('04_Reforecast'!J13+'04_Reforecast'!J73)/2)*('01_Assumptions'!$D$17/12)*J$7</f>
        <v/>
      </c>
      <c r="K28" s="20">
        <f>(('04_Reforecast'!K13+'04_Reforecast'!K73)/2)*('01_Assumptions'!$D$17/12)*K$7</f>
        <v/>
      </c>
      <c r="L28" s="20">
        <f>(('04_Reforecast'!L13+'04_Reforecast'!L73)/2)*('01_Assumptions'!$D$17/12)*L$7</f>
        <v/>
      </c>
      <c r="M28" s="20">
        <f>(('04_Reforecast'!M13+'04_Reforecast'!M73)/2)*('01_Assumptions'!$D$17/12)*M$7</f>
        <v/>
      </c>
      <c r="N28" s="20">
        <f>(('04_Reforecast'!N13+'04_Reforecast'!N73)/2)*('01_Assumptions'!$D$17/12)*N$7</f>
        <v/>
      </c>
      <c r="O28" s="25">
        <f>SUM(C28:N28)</f>
        <v/>
      </c>
    </row>
    <row r="29">
      <c r="B29" s="22" t="inlineStr">
        <is>
          <t>Quality / R&amp;D</t>
        </is>
      </c>
      <c r="C29" s="20">
        <f>(('04_Reforecast'!C14+'04_Reforecast'!C74)/2)*('01_Assumptions'!$D$18/12)*C$7</f>
        <v/>
      </c>
      <c r="D29" s="20">
        <f>(('04_Reforecast'!D14+'04_Reforecast'!D74)/2)*('01_Assumptions'!$D$18/12)*D$7</f>
        <v/>
      </c>
      <c r="E29" s="20">
        <f>(('04_Reforecast'!E14+'04_Reforecast'!E74)/2)*('01_Assumptions'!$D$18/12)*E$7</f>
        <v/>
      </c>
      <c r="F29" s="20">
        <f>(('04_Reforecast'!F14+'04_Reforecast'!F74)/2)*('01_Assumptions'!$D$18/12)*F$7</f>
        <v/>
      </c>
      <c r="G29" s="20">
        <f>(('04_Reforecast'!G14+'04_Reforecast'!G74)/2)*('01_Assumptions'!$D$18/12)*G$7</f>
        <v/>
      </c>
      <c r="H29" s="20">
        <f>(('04_Reforecast'!H14+'04_Reforecast'!H74)/2)*('01_Assumptions'!$D$18/12)*H$7</f>
        <v/>
      </c>
      <c r="I29" s="20">
        <f>(('04_Reforecast'!I14+'04_Reforecast'!I74)/2)*('01_Assumptions'!$D$18/12)*I$7</f>
        <v/>
      </c>
      <c r="J29" s="20">
        <f>(('04_Reforecast'!J14+'04_Reforecast'!J74)/2)*('01_Assumptions'!$D$18/12)*J$7</f>
        <v/>
      </c>
      <c r="K29" s="20">
        <f>(('04_Reforecast'!K14+'04_Reforecast'!K74)/2)*('01_Assumptions'!$D$18/12)*K$7</f>
        <v/>
      </c>
      <c r="L29" s="20">
        <f>(('04_Reforecast'!L14+'04_Reforecast'!L74)/2)*('01_Assumptions'!$D$18/12)*L$7</f>
        <v/>
      </c>
      <c r="M29" s="20">
        <f>(('04_Reforecast'!M14+'04_Reforecast'!M74)/2)*('01_Assumptions'!$D$18/12)*M$7</f>
        <v/>
      </c>
      <c r="N29" s="20">
        <f>(('04_Reforecast'!N14+'04_Reforecast'!N74)/2)*('01_Assumptions'!$D$18/12)*N$7</f>
        <v/>
      </c>
      <c r="O29" s="25">
        <f>SUM(C29:N29)</f>
        <v/>
      </c>
    </row>
    <row r="30">
      <c r="B30" s="22" t="inlineStr">
        <is>
          <t>G&amp;A / IT</t>
        </is>
      </c>
      <c r="C30" s="20">
        <f>(('04_Reforecast'!C15+'04_Reforecast'!C75)/2)*('01_Assumptions'!$D$19/12)*C$7</f>
        <v/>
      </c>
      <c r="D30" s="20">
        <f>(('04_Reforecast'!D15+'04_Reforecast'!D75)/2)*('01_Assumptions'!$D$19/12)*D$7</f>
        <v/>
      </c>
      <c r="E30" s="20">
        <f>(('04_Reforecast'!E15+'04_Reforecast'!E75)/2)*('01_Assumptions'!$D$19/12)*E$7</f>
        <v/>
      </c>
      <c r="F30" s="20">
        <f>(('04_Reforecast'!F15+'04_Reforecast'!F75)/2)*('01_Assumptions'!$D$19/12)*F$7</f>
        <v/>
      </c>
      <c r="G30" s="20">
        <f>(('04_Reforecast'!G15+'04_Reforecast'!G75)/2)*('01_Assumptions'!$D$19/12)*G$7</f>
        <v/>
      </c>
      <c r="H30" s="20">
        <f>(('04_Reforecast'!H15+'04_Reforecast'!H75)/2)*('01_Assumptions'!$D$19/12)*H$7</f>
        <v/>
      </c>
      <c r="I30" s="20">
        <f>(('04_Reforecast'!I15+'04_Reforecast'!I75)/2)*('01_Assumptions'!$D$19/12)*I$7</f>
        <v/>
      </c>
      <c r="J30" s="20">
        <f>(('04_Reforecast'!J15+'04_Reforecast'!J75)/2)*('01_Assumptions'!$D$19/12)*J$7</f>
        <v/>
      </c>
      <c r="K30" s="20">
        <f>(('04_Reforecast'!K15+'04_Reforecast'!K75)/2)*('01_Assumptions'!$D$19/12)*K$7</f>
        <v/>
      </c>
      <c r="L30" s="20">
        <f>(('04_Reforecast'!L15+'04_Reforecast'!L75)/2)*('01_Assumptions'!$D$19/12)*L$7</f>
        <v/>
      </c>
      <c r="M30" s="20">
        <f>(('04_Reforecast'!M15+'04_Reforecast'!M75)/2)*('01_Assumptions'!$D$19/12)*M$7</f>
        <v/>
      </c>
      <c r="N30" s="20">
        <f>(('04_Reforecast'!N15+'04_Reforecast'!N75)/2)*('01_Assumptions'!$D$19/12)*N$7</f>
        <v/>
      </c>
      <c r="O30" s="25">
        <f>SUM(C30:N30)</f>
        <v/>
      </c>
    </row>
    <row r="31">
      <c r="B31" s="15" t="inlineStr">
        <is>
          <t>Forecast total</t>
        </is>
      </c>
      <c r="C31" s="25">
        <f>SUM(C23:C30)</f>
        <v/>
      </c>
      <c r="D31" s="25">
        <f>SUM(D23:D30)</f>
        <v/>
      </c>
      <c r="E31" s="25">
        <f>SUM(E23:E30)</f>
        <v/>
      </c>
      <c r="F31" s="25">
        <f>SUM(F23:F30)</f>
        <v/>
      </c>
      <c r="G31" s="25">
        <f>SUM(G23:G30)</f>
        <v/>
      </c>
      <c r="H31" s="25">
        <f>SUM(H23:H30)</f>
        <v/>
      </c>
      <c r="I31" s="25">
        <f>SUM(I23:I30)</f>
        <v/>
      </c>
      <c r="J31" s="25">
        <f>SUM(J23:J30)</f>
        <v/>
      </c>
      <c r="K31" s="25">
        <f>SUM(K23:K30)</f>
        <v/>
      </c>
      <c r="L31" s="25">
        <f>SUM(L23:L30)</f>
        <v/>
      </c>
      <c r="M31" s="25">
        <f>SUM(M23:M30)</f>
        <v/>
      </c>
      <c r="N31" s="25">
        <f>SUM(N23:N30)</f>
        <v/>
      </c>
      <c r="O31" s="25">
        <f>SUM(O23:O30)</f>
        <v/>
      </c>
    </row>
    <row r="33">
      <c r="B33" s="12" t="inlineStr">
        <is>
          <t>Variance  (forecast − plan)  $000s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>
      <c r="C34" s="14" t="inlineStr">
        <is>
          <t>Jan-26</t>
        </is>
      </c>
      <c r="D34" s="14" t="inlineStr">
        <is>
          <t>Feb-26</t>
        </is>
      </c>
      <c r="E34" s="14" t="inlineStr">
        <is>
          <t>Mar-26</t>
        </is>
      </c>
      <c r="F34" s="14" t="inlineStr">
        <is>
          <t>Apr-26</t>
        </is>
      </c>
      <c r="G34" s="14" t="inlineStr">
        <is>
          <t>May-26</t>
        </is>
      </c>
      <c r="H34" s="14" t="inlineStr">
        <is>
          <t>Jun-26</t>
        </is>
      </c>
      <c r="I34" s="14" t="inlineStr">
        <is>
          <t>Jul-26</t>
        </is>
      </c>
      <c r="J34" s="14" t="inlineStr">
        <is>
          <t>Aug-26</t>
        </is>
      </c>
      <c r="K34" s="14" t="inlineStr">
        <is>
          <t>Sep-26</t>
        </is>
      </c>
      <c r="L34" s="14" t="inlineStr">
        <is>
          <t>Oct-26</t>
        </is>
      </c>
      <c r="M34" s="14" t="inlineStr">
        <is>
          <t>Nov-26</t>
        </is>
      </c>
      <c r="N34" s="14" t="inlineStr">
        <is>
          <t>Dec-26</t>
        </is>
      </c>
      <c r="O34" s="14" t="inlineStr">
        <is>
          <t>FY26 $</t>
        </is>
      </c>
    </row>
    <row r="35">
      <c r="B35" s="22" t="inlineStr">
        <is>
          <t>Operations</t>
        </is>
      </c>
      <c r="C35" s="20">
        <f>C23-C11</f>
        <v/>
      </c>
      <c r="D35" s="20">
        <f>D23-D11</f>
        <v/>
      </c>
      <c r="E35" s="20">
        <f>E23-E11</f>
        <v/>
      </c>
      <c r="F35" s="20">
        <f>F23-F11</f>
        <v/>
      </c>
      <c r="G35" s="20">
        <f>G23-G11</f>
        <v/>
      </c>
      <c r="H35" s="20">
        <f>H23-H11</f>
        <v/>
      </c>
      <c r="I35" s="20">
        <f>I23-I11</f>
        <v/>
      </c>
      <c r="J35" s="20">
        <f>J23-J11</f>
        <v/>
      </c>
      <c r="K35" s="20">
        <f>K23-K11</f>
        <v/>
      </c>
      <c r="L35" s="20">
        <f>L23-L11</f>
        <v/>
      </c>
      <c r="M35" s="20">
        <f>M23-M11</f>
        <v/>
      </c>
      <c r="N35" s="20">
        <f>N23-N11</f>
        <v/>
      </c>
      <c r="O35" s="20">
        <f>O23-O11</f>
        <v/>
      </c>
    </row>
    <row r="36">
      <c r="B36" s="22" t="inlineStr">
        <is>
          <t>Supply Chain</t>
        </is>
      </c>
      <c r="C36" s="20">
        <f>C24-C12</f>
        <v/>
      </c>
      <c r="D36" s="20">
        <f>D24-D12</f>
        <v/>
      </c>
      <c r="E36" s="20">
        <f>E24-E12</f>
        <v/>
      </c>
      <c r="F36" s="20">
        <f>F24-F12</f>
        <v/>
      </c>
      <c r="G36" s="20">
        <f>G24-G12</f>
        <v/>
      </c>
      <c r="H36" s="20">
        <f>H24-H12</f>
        <v/>
      </c>
      <c r="I36" s="20">
        <f>I24-I12</f>
        <v/>
      </c>
      <c r="J36" s="20">
        <f>J24-J12</f>
        <v/>
      </c>
      <c r="K36" s="20">
        <f>K24-K12</f>
        <v/>
      </c>
      <c r="L36" s="20">
        <f>L24-L12</f>
        <v/>
      </c>
      <c r="M36" s="20">
        <f>M24-M12</f>
        <v/>
      </c>
      <c r="N36" s="20">
        <f>N24-N12</f>
        <v/>
      </c>
      <c r="O36" s="20">
        <f>O24-O12</f>
        <v/>
      </c>
    </row>
    <row r="37">
      <c r="B37" s="22" t="inlineStr">
        <is>
          <t>Sales</t>
        </is>
      </c>
      <c r="C37" s="20">
        <f>C25-C13</f>
        <v/>
      </c>
      <c r="D37" s="20">
        <f>D25-D13</f>
        <v/>
      </c>
      <c r="E37" s="20">
        <f>E25-E13</f>
        <v/>
      </c>
      <c r="F37" s="20">
        <f>F25-F13</f>
        <v/>
      </c>
      <c r="G37" s="20">
        <f>G25-G13</f>
        <v/>
      </c>
      <c r="H37" s="20">
        <f>H25-H13</f>
        <v/>
      </c>
      <c r="I37" s="20">
        <f>I25-I13</f>
        <v/>
      </c>
      <c r="J37" s="20">
        <f>J25-J13</f>
        <v/>
      </c>
      <c r="K37" s="20">
        <f>K25-K13</f>
        <v/>
      </c>
      <c r="L37" s="20">
        <f>L25-L13</f>
        <v/>
      </c>
      <c r="M37" s="20">
        <f>M25-M13</f>
        <v/>
      </c>
      <c r="N37" s="20">
        <f>N25-N13</f>
        <v/>
      </c>
      <c r="O37" s="20">
        <f>O25-O13</f>
        <v/>
      </c>
    </row>
    <row r="38">
      <c r="B38" s="22" t="inlineStr">
        <is>
          <t>Marketing</t>
        </is>
      </c>
      <c r="C38" s="20">
        <f>C26-C14</f>
        <v/>
      </c>
      <c r="D38" s="20">
        <f>D26-D14</f>
        <v/>
      </c>
      <c r="E38" s="20">
        <f>E26-E14</f>
        <v/>
      </c>
      <c r="F38" s="20">
        <f>F26-F14</f>
        <v/>
      </c>
      <c r="G38" s="20">
        <f>G26-G14</f>
        <v/>
      </c>
      <c r="H38" s="20">
        <f>H26-H14</f>
        <v/>
      </c>
      <c r="I38" s="20">
        <f>I26-I14</f>
        <v/>
      </c>
      <c r="J38" s="20">
        <f>J26-J14</f>
        <v/>
      </c>
      <c r="K38" s="20">
        <f>K26-K14</f>
        <v/>
      </c>
      <c r="L38" s="20">
        <f>L26-L14</f>
        <v/>
      </c>
      <c r="M38" s="20">
        <f>M26-M14</f>
        <v/>
      </c>
      <c r="N38" s="20">
        <f>N26-N14</f>
        <v/>
      </c>
      <c r="O38" s="20">
        <f>O26-O14</f>
        <v/>
      </c>
    </row>
    <row r="39">
      <c r="B39" s="22" t="inlineStr">
        <is>
          <t>Finance</t>
        </is>
      </c>
      <c r="C39" s="20">
        <f>C27-C15</f>
        <v/>
      </c>
      <c r="D39" s="20">
        <f>D27-D15</f>
        <v/>
      </c>
      <c r="E39" s="20">
        <f>E27-E15</f>
        <v/>
      </c>
      <c r="F39" s="20">
        <f>F27-F15</f>
        <v/>
      </c>
      <c r="G39" s="20">
        <f>G27-G15</f>
        <v/>
      </c>
      <c r="H39" s="20">
        <f>H27-H15</f>
        <v/>
      </c>
      <c r="I39" s="20">
        <f>I27-I15</f>
        <v/>
      </c>
      <c r="J39" s="20">
        <f>J27-J15</f>
        <v/>
      </c>
      <c r="K39" s="20">
        <f>K27-K15</f>
        <v/>
      </c>
      <c r="L39" s="20">
        <f>L27-L15</f>
        <v/>
      </c>
      <c r="M39" s="20">
        <f>M27-M15</f>
        <v/>
      </c>
      <c r="N39" s="20">
        <f>N27-N15</f>
        <v/>
      </c>
      <c r="O39" s="20">
        <f>O27-O15</f>
        <v/>
      </c>
    </row>
    <row r="40">
      <c r="B40" s="22" t="inlineStr">
        <is>
          <t>HR</t>
        </is>
      </c>
      <c r="C40" s="20">
        <f>C28-C16</f>
        <v/>
      </c>
      <c r="D40" s="20">
        <f>D28-D16</f>
        <v/>
      </c>
      <c r="E40" s="20">
        <f>E28-E16</f>
        <v/>
      </c>
      <c r="F40" s="20">
        <f>F28-F16</f>
        <v/>
      </c>
      <c r="G40" s="20">
        <f>G28-G16</f>
        <v/>
      </c>
      <c r="H40" s="20">
        <f>H28-H16</f>
        <v/>
      </c>
      <c r="I40" s="20">
        <f>I28-I16</f>
        <v/>
      </c>
      <c r="J40" s="20">
        <f>J28-J16</f>
        <v/>
      </c>
      <c r="K40" s="20">
        <f>K28-K16</f>
        <v/>
      </c>
      <c r="L40" s="20">
        <f>L28-L16</f>
        <v/>
      </c>
      <c r="M40" s="20">
        <f>M28-M16</f>
        <v/>
      </c>
      <c r="N40" s="20">
        <f>N28-N16</f>
        <v/>
      </c>
      <c r="O40" s="20">
        <f>O28-O16</f>
        <v/>
      </c>
    </row>
    <row r="41">
      <c r="B41" s="22" t="inlineStr">
        <is>
          <t>Quality / R&amp;D</t>
        </is>
      </c>
      <c r="C41" s="20">
        <f>C29-C17</f>
        <v/>
      </c>
      <c r="D41" s="20">
        <f>D29-D17</f>
        <v/>
      </c>
      <c r="E41" s="20">
        <f>E29-E17</f>
        <v/>
      </c>
      <c r="F41" s="20">
        <f>F29-F17</f>
        <v/>
      </c>
      <c r="G41" s="20">
        <f>G29-G17</f>
        <v/>
      </c>
      <c r="H41" s="20">
        <f>H29-H17</f>
        <v/>
      </c>
      <c r="I41" s="20">
        <f>I29-I17</f>
        <v/>
      </c>
      <c r="J41" s="20">
        <f>J29-J17</f>
        <v/>
      </c>
      <c r="K41" s="20">
        <f>K29-K17</f>
        <v/>
      </c>
      <c r="L41" s="20">
        <f>L29-L17</f>
        <v/>
      </c>
      <c r="M41" s="20">
        <f>M29-M17</f>
        <v/>
      </c>
      <c r="N41" s="20">
        <f>N29-N17</f>
        <v/>
      </c>
      <c r="O41" s="20">
        <f>O29-O17</f>
        <v/>
      </c>
    </row>
    <row r="42">
      <c r="B42" s="22" t="inlineStr">
        <is>
          <t>G&amp;A / IT</t>
        </is>
      </c>
      <c r="C42" s="20">
        <f>C30-C18</f>
        <v/>
      </c>
      <c r="D42" s="20">
        <f>D30-D18</f>
        <v/>
      </c>
      <c r="E42" s="20">
        <f>E30-E18</f>
        <v/>
      </c>
      <c r="F42" s="20">
        <f>F30-F18</f>
        <v/>
      </c>
      <c r="G42" s="20">
        <f>G30-G18</f>
        <v/>
      </c>
      <c r="H42" s="20">
        <f>H30-H18</f>
        <v/>
      </c>
      <c r="I42" s="20">
        <f>I30-I18</f>
        <v/>
      </c>
      <c r="J42" s="20">
        <f>J30-J18</f>
        <v/>
      </c>
      <c r="K42" s="20">
        <f>K30-K18</f>
        <v/>
      </c>
      <c r="L42" s="20">
        <f>L30-L18</f>
        <v/>
      </c>
      <c r="M42" s="20">
        <f>M30-M18</f>
        <v/>
      </c>
      <c r="N42" s="20">
        <f>N30-N18</f>
        <v/>
      </c>
      <c r="O42" s="20">
        <f>O30-O18</f>
        <v/>
      </c>
    </row>
    <row r="43">
      <c r="B43" s="15" t="inlineStr">
        <is>
          <t>Variance total</t>
        </is>
      </c>
      <c r="C43" s="25">
        <f>C31-C19</f>
        <v/>
      </c>
      <c r="D43" s="25">
        <f>D31-D19</f>
        <v/>
      </c>
      <c r="E43" s="25">
        <f>E31-E19</f>
        <v/>
      </c>
      <c r="F43" s="25">
        <f>F31-F19</f>
        <v/>
      </c>
      <c r="G43" s="25">
        <f>G31-G19</f>
        <v/>
      </c>
      <c r="H43" s="25">
        <f>H31-H19</f>
        <v/>
      </c>
      <c r="I43" s="25">
        <f>I31-I19</f>
        <v/>
      </c>
      <c r="J43" s="25">
        <f>J31-J19</f>
        <v/>
      </c>
      <c r="K43" s="25">
        <f>K31-K19</f>
        <v/>
      </c>
      <c r="L43" s="25">
        <f>L31-L19</f>
        <v/>
      </c>
      <c r="M43" s="25">
        <f>M31-M19</f>
        <v/>
      </c>
      <c r="N43" s="25">
        <f>N31-N19</f>
        <v/>
      </c>
      <c r="O43" s="25">
        <f>O31-O19</f>
        <v/>
      </c>
    </row>
    <row r="45">
      <c r="B45" s="12" t="inlineStr">
        <is>
          <t>FY cost bridge (plan) — illustrative, $000s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>
      <c r="B46" s="14" t="inlineStr">
        <is>
          <t>Bridge step</t>
        </is>
      </c>
      <c r="C46" s="14" t="inlineStr">
        <is>
          <t>$000s</t>
        </is>
      </c>
    </row>
    <row r="47">
      <c r="B47" t="inlineStr">
        <is>
          <t>Opening run-rate  (opening FTE × pre-raise monthly cost × 12)</t>
        </is>
      </c>
      <c r="C47" s="20">
        <f>SUMPRODUCT('01_Assumptions'!C12:C19,'01_Assumptions'!D12:D19)</f>
        <v/>
      </c>
    </row>
    <row r="48">
      <c r="B48" t="inlineStr">
        <is>
          <t>Merit on opening base  (raise × months-in-force / 12)</t>
        </is>
      </c>
      <c r="C48" s="20">
        <f>C47*'01_Assumptions'!C6*(13-'01_Assumptions'!C7)/12</f>
        <v/>
      </c>
    </row>
    <row r="49">
      <c r="B49" t="inlineStr">
        <is>
          <t>In-year volume / mix / timing  (plug to plan FY cost)</t>
        </is>
      </c>
      <c r="C49" s="20">
        <f>O19-C47-C48</f>
        <v/>
      </c>
    </row>
    <row r="50">
      <c r="B50" t="inlineStr">
        <is>
          <t>Plan FY loaded cost (check)</t>
        </is>
      </c>
      <c r="C50" s="25">
        <f>C47+C48+C49</f>
        <v/>
      </c>
      <c r="D50" s="9">
        <f>IF(ABS(C50-O19)&lt;1,"Ties to plan FY","Check")</f>
        <v/>
      </c>
    </row>
    <row r="52">
      <c r="B52" s="10" t="inlineStr">
        <is>
          <t>Average FTE timing means a hire mid-month (or an exit) costs half a month — standard FP&amp;A convention.</t>
        </is>
      </c>
    </row>
  </sheetData>
  <conditionalFormatting sqref="C35:O43">
    <cfRule type="expression" priority="1" dxfId="0">
      <formula>C35&gt;5</formula>
    </cfRule>
    <cfRule type="expression" priority="2" dxfId="1">
      <formula>C35&lt;-5</formula>
    </cfRule>
  </conditionalFormatting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2:O9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Reforecast — latest view vs original plan</t>
        </is>
      </c>
    </row>
    <row r="3">
      <c r="B3" s="3" t="inlineStr">
        <is>
          <t>Same mechanics as the plan. Hires and other exits are the latest view (YTD actuals through the as-of month, then forecast).</t>
        </is>
      </c>
    </row>
    <row r="4">
      <c r="B4" t="inlineStr">
        <is>
          <t>As-of month</t>
        </is>
      </c>
      <c r="C4" s="26">
        <f>'01_Assumptions'!D5</f>
        <v/>
      </c>
    </row>
    <row r="5">
      <c r="C5" s="27">
        <f>IF(1&lt;='01_Assumptions'!$C$5,"Actual","Forecast")</f>
        <v/>
      </c>
      <c r="D5" s="27">
        <f>IF(2&lt;='01_Assumptions'!$C$5,"Actual","Forecast")</f>
        <v/>
      </c>
      <c r="E5" s="27">
        <f>IF(3&lt;='01_Assumptions'!$C$5,"Actual","Forecast")</f>
        <v/>
      </c>
      <c r="F5" s="27">
        <f>IF(4&lt;='01_Assumptions'!$C$5,"Actual","Forecast")</f>
        <v/>
      </c>
      <c r="G5" s="27">
        <f>IF(5&lt;='01_Assumptions'!$C$5,"Actual","Forecast")</f>
        <v/>
      </c>
      <c r="H5" s="27">
        <f>IF(6&lt;='01_Assumptions'!$C$5,"Actual","Forecast")</f>
        <v/>
      </c>
      <c r="I5" s="27">
        <f>IF(7&lt;='01_Assumptions'!$C$5,"Actual","Forecast")</f>
        <v/>
      </c>
      <c r="J5" s="27">
        <f>IF(8&lt;='01_Assumptions'!$C$5,"Actual","Forecast")</f>
        <v/>
      </c>
      <c r="K5" s="27">
        <f>IF(9&lt;='01_Assumptions'!$C$5,"Actual","Forecast")</f>
        <v/>
      </c>
      <c r="L5" s="27">
        <f>IF(10&lt;='01_Assumptions'!$C$5,"Actual","Forecast")</f>
        <v/>
      </c>
      <c r="M5" s="27">
        <f>IF(11&lt;='01_Assumptions'!$C$5,"Actual","Forecast")</f>
        <v/>
      </c>
      <c r="N5" s="27">
        <f>IF(12&lt;='01_Assumptions'!$C$5,"Actual","Forecast")</f>
        <v/>
      </c>
    </row>
    <row r="6">
      <c r="B6" s="12" t="inlineStr">
        <is>
          <t>Opening FTE (latest view)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>
      <c r="C7" s="14" t="inlineStr">
        <is>
          <t>Jan-26</t>
        </is>
      </c>
      <c r="D7" s="14" t="inlineStr">
        <is>
          <t>Feb-26</t>
        </is>
      </c>
      <c r="E7" s="14" t="inlineStr">
        <is>
          <t>Mar-26</t>
        </is>
      </c>
      <c r="F7" s="14" t="inlineStr">
        <is>
          <t>Apr-26</t>
        </is>
      </c>
      <c r="G7" s="14" t="inlineStr">
        <is>
          <t>May-26</t>
        </is>
      </c>
      <c r="H7" s="14" t="inlineStr">
        <is>
          <t>Jun-26</t>
        </is>
      </c>
      <c r="I7" s="14" t="inlineStr">
        <is>
          <t>Jul-26</t>
        </is>
      </c>
      <c r="J7" s="14" t="inlineStr">
        <is>
          <t>Aug-26</t>
        </is>
      </c>
      <c r="K7" s="14" t="inlineStr">
        <is>
          <t>Sep-26</t>
        </is>
      </c>
      <c r="L7" s="14" t="inlineStr">
        <is>
          <t>Oct-26</t>
        </is>
      </c>
      <c r="M7" s="14" t="inlineStr">
        <is>
          <t>Nov-26</t>
        </is>
      </c>
      <c r="N7" s="14" t="inlineStr">
        <is>
          <t>Dec-26</t>
        </is>
      </c>
      <c r="O7" s="14" t="inlineStr">
        <is>
          <t>FY26</t>
        </is>
      </c>
    </row>
    <row r="8">
      <c r="B8" s="22" t="inlineStr">
        <is>
          <t>Operations</t>
        </is>
      </c>
      <c r="C8" s="23">
        <f>'01_Assumptions'!C12</f>
        <v/>
      </c>
      <c r="D8" s="23">
        <f>C68</f>
        <v/>
      </c>
      <c r="E8" s="23">
        <f>D68</f>
        <v/>
      </c>
      <c r="F8" s="23">
        <f>E68</f>
        <v/>
      </c>
      <c r="G8" s="23">
        <f>F68</f>
        <v/>
      </c>
      <c r="H8" s="23">
        <f>G68</f>
        <v/>
      </c>
      <c r="I8" s="23">
        <f>H68</f>
        <v/>
      </c>
      <c r="J8" s="23">
        <f>I68</f>
        <v/>
      </c>
      <c r="K8" s="23">
        <f>J68</f>
        <v/>
      </c>
      <c r="L8" s="23">
        <f>K68</f>
        <v/>
      </c>
      <c r="M8" s="23">
        <f>L68</f>
        <v/>
      </c>
      <c r="N8" s="23">
        <f>M68</f>
        <v/>
      </c>
      <c r="O8" s="23">
        <f>C8</f>
        <v/>
      </c>
    </row>
    <row r="9">
      <c r="B9" s="22" t="inlineStr">
        <is>
          <t>Supply Chain</t>
        </is>
      </c>
      <c r="C9" s="23">
        <f>'01_Assumptions'!C13</f>
        <v/>
      </c>
      <c r="D9" s="23">
        <f>C69</f>
        <v/>
      </c>
      <c r="E9" s="23">
        <f>D69</f>
        <v/>
      </c>
      <c r="F9" s="23">
        <f>E69</f>
        <v/>
      </c>
      <c r="G9" s="23">
        <f>F69</f>
        <v/>
      </c>
      <c r="H9" s="23">
        <f>G69</f>
        <v/>
      </c>
      <c r="I9" s="23">
        <f>H69</f>
        <v/>
      </c>
      <c r="J9" s="23">
        <f>I69</f>
        <v/>
      </c>
      <c r="K9" s="23">
        <f>J69</f>
        <v/>
      </c>
      <c r="L9" s="23">
        <f>K69</f>
        <v/>
      </c>
      <c r="M9" s="23">
        <f>L69</f>
        <v/>
      </c>
      <c r="N9" s="23">
        <f>M69</f>
        <v/>
      </c>
      <c r="O9" s="23">
        <f>C9</f>
        <v/>
      </c>
    </row>
    <row r="10">
      <c r="B10" s="22" t="inlineStr">
        <is>
          <t>Sales</t>
        </is>
      </c>
      <c r="C10" s="23">
        <f>'01_Assumptions'!C14</f>
        <v/>
      </c>
      <c r="D10" s="23">
        <f>C70</f>
        <v/>
      </c>
      <c r="E10" s="23">
        <f>D70</f>
        <v/>
      </c>
      <c r="F10" s="23">
        <f>E70</f>
        <v/>
      </c>
      <c r="G10" s="23">
        <f>F70</f>
        <v/>
      </c>
      <c r="H10" s="23">
        <f>G70</f>
        <v/>
      </c>
      <c r="I10" s="23">
        <f>H70</f>
        <v/>
      </c>
      <c r="J10" s="23">
        <f>I70</f>
        <v/>
      </c>
      <c r="K10" s="23">
        <f>J70</f>
        <v/>
      </c>
      <c r="L10" s="23">
        <f>K70</f>
        <v/>
      </c>
      <c r="M10" s="23">
        <f>L70</f>
        <v/>
      </c>
      <c r="N10" s="23">
        <f>M70</f>
        <v/>
      </c>
      <c r="O10" s="23">
        <f>C10</f>
        <v/>
      </c>
    </row>
    <row r="11">
      <c r="B11" s="22" t="inlineStr">
        <is>
          <t>Marketing</t>
        </is>
      </c>
      <c r="C11" s="23">
        <f>'01_Assumptions'!C15</f>
        <v/>
      </c>
      <c r="D11" s="23">
        <f>C71</f>
        <v/>
      </c>
      <c r="E11" s="23">
        <f>D71</f>
        <v/>
      </c>
      <c r="F11" s="23">
        <f>E71</f>
        <v/>
      </c>
      <c r="G11" s="23">
        <f>F71</f>
        <v/>
      </c>
      <c r="H11" s="23">
        <f>G71</f>
        <v/>
      </c>
      <c r="I11" s="23">
        <f>H71</f>
        <v/>
      </c>
      <c r="J11" s="23">
        <f>I71</f>
        <v/>
      </c>
      <c r="K11" s="23">
        <f>J71</f>
        <v/>
      </c>
      <c r="L11" s="23">
        <f>K71</f>
        <v/>
      </c>
      <c r="M11" s="23">
        <f>L71</f>
        <v/>
      </c>
      <c r="N11" s="23">
        <f>M71</f>
        <v/>
      </c>
      <c r="O11" s="23">
        <f>C11</f>
        <v/>
      </c>
    </row>
    <row r="12">
      <c r="B12" s="22" t="inlineStr">
        <is>
          <t>Finance</t>
        </is>
      </c>
      <c r="C12" s="23">
        <f>'01_Assumptions'!C16</f>
        <v/>
      </c>
      <c r="D12" s="23">
        <f>C72</f>
        <v/>
      </c>
      <c r="E12" s="23">
        <f>D72</f>
        <v/>
      </c>
      <c r="F12" s="23">
        <f>E72</f>
        <v/>
      </c>
      <c r="G12" s="23">
        <f>F72</f>
        <v/>
      </c>
      <c r="H12" s="23">
        <f>G72</f>
        <v/>
      </c>
      <c r="I12" s="23">
        <f>H72</f>
        <v/>
      </c>
      <c r="J12" s="23">
        <f>I72</f>
        <v/>
      </c>
      <c r="K12" s="23">
        <f>J72</f>
        <v/>
      </c>
      <c r="L12" s="23">
        <f>K72</f>
        <v/>
      </c>
      <c r="M12" s="23">
        <f>L72</f>
        <v/>
      </c>
      <c r="N12" s="23">
        <f>M72</f>
        <v/>
      </c>
      <c r="O12" s="23">
        <f>C12</f>
        <v/>
      </c>
    </row>
    <row r="13">
      <c r="B13" s="22" t="inlineStr">
        <is>
          <t>HR</t>
        </is>
      </c>
      <c r="C13" s="23">
        <f>'01_Assumptions'!C17</f>
        <v/>
      </c>
      <c r="D13" s="23">
        <f>C73</f>
        <v/>
      </c>
      <c r="E13" s="23">
        <f>D73</f>
        <v/>
      </c>
      <c r="F13" s="23">
        <f>E73</f>
        <v/>
      </c>
      <c r="G13" s="23">
        <f>F73</f>
        <v/>
      </c>
      <c r="H13" s="23">
        <f>G73</f>
        <v/>
      </c>
      <c r="I13" s="23">
        <f>H73</f>
        <v/>
      </c>
      <c r="J13" s="23">
        <f>I73</f>
        <v/>
      </c>
      <c r="K13" s="23">
        <f>J73</f>
        <v/>
      </c>
      <c r="L13" s="23">
        <f>K73</f>
        <v/>
      </c>
      <c r="M13" s="23">
        <f>L73</f>
        <v/>
      </c>
      <c r="N13" s="23">
        <f>M73</f>
        <v/>
      </c>
      <c r="O13" s="23">
        <f>C13</f>
        <v/>
      </c>
    </row>
    <row r="14">
      <c r="B14" s="22" t="inlineStr">
        <is>
          <t>Quality / R&amp;D</t>
        </is>
      </c>
      <c r="C14" s="23">
        <f>'01_Assumptions'!C18</f>
        <v/>
      </c>
      <c r="D14" s="23">
        <f>C74</f>
        <v/>
      </c>
      <c r="E14" s="23">
        <f>D74</f>
        <v/>
      </c>
      <c r="F14" s="23">
        <f>E74</f>
        <v/>
      </c>
      <c r="G14" s="23">
        <f>F74</f>
        <v/>
      </c>
      <c r="H14" s="23">
        <f>G74</f>
        <v/>
      </c>
      <c r="I14" s="23">
        <f>H74</f>
        <v/>
      </c>
      <c r="J14" s="23">
        <f>I74</f>
        <v/>
      </c>
      <c r="K14" s="23">
        <f>J74</f>
        <v/>
      </c>
      <c r="L14" s="23">
        <f>K74</f>
        <v/>
      </c>
      <c r="M14" s="23">
        <f>L74</f>
        <v/>
      </c>
      <c r="N14" s="23">
        <f>M74</f>
        <v/>
      </c>
      <c r="O14" s="23">
        <f>C14</f>
        <v/>
      </c>
    </row>
    <row r="15">
      <c r="B15" s="22" t="inlineStr">
        <is>
          <t>G&amp;A / IT</t>
        </is>
      </c>
      <c r="C15" s="23">
        <f>'01_Assumptions'!C19</f>
        <v/>
      </c>
      <c r="D15" s="23">
        <f>C75</f>
        <v/>
      </c>
      <c r="E15" s="23">
        <f>D75</f>
        <v/>
      </c>
      <c r="F15" s="23">
        <f>E75</f>
        <v/>
      </c>
      <c r="G15" s="23">
        <f>F75</f>
        <v/>
      </c>
      <c r="H15" s="23">
        <f>G75</f>
        <v/>
      </c>
      <c r="I15" s="23">
        <f>H75</f>
        <v/>
      </c>
      <c r="J15" s="23">
        <f>I75</f>
        <v/>
      </c>
      <c r="K15" s="23">
        <f>J75</f>
        <v/>
      </c>
      <c r="L15" s="23">
        <f>K75</f>
        <v/>
      </c>
      <c r="M15" s="23">
        <f>L75</f>
        <v/>
      </c>
      <c r="N15" s="23">
        <f>M75</f>
        <v/>
      </c>
      <c r="O15" s="23">
        <f>C15</f>
        <v/>
      </c>
    </row>
    <row r="16">
      <c r="B16" s="15" t="inlineStr">
        <is>
          <t>Total</t>
        </is>
      </c>
      <c r="C16" s="19">
        <f>SUM(C8:C15)</f>
        <v/>
      </c>
      <c r="D16" s="19">
        <f>SUM(D8:D15)</f>
        <v/>
      </c>
      <c r="E16" s="19">
        <f>SUM(E8:E15)</f>
        <v/>
      </c>
      <c r="F16" s="19">
        <f>SUM(F8:F15)</f>
        <v/>
      </c>
      <c r="G16" s="19">
        <f>SUM(G8:G15)</f>
        <v/>
      </c>
      <c r="H16" s="19">
        <f>SUM(H8:H15)</f>
        <v/>
      </c>
      <c r="I16" s="19">
        <f>SUM(I8:I15)</f>
        <v/>
      </c>
      <c r="J16" s="19">
        <f>SUM(J8:J15)</f>
        <v/>
      </c>
      <c r="K16" s="19">
        <f>SUM(K8:K15)</f>
        <v/>
      </c>
      <c r="L16" s="19">
        <f>SUM(L8:L15)</f>
        <v/>
      </c>
      <c r="M16" s="19">
        <f>SUM(M8:M15)</f>
        <v/>
      </c>
      <c r="N16" s="19">
        <f>SUM(N8:N15)</f>
        <v/>
      </c>
      <c r="O16" s="19">
        <f>SUM(O8:O15)</f>
        <v/>
      </c>
    </row>
    <row r="18">
      <c r="B18" s="12" t="inlineStr">
        <is>
          <t>Hires (starts) — latest view, input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C19" s="14" t="inlineStr">
        <is>
          <t>Jan-26</t>
        </is>
      </c>
      <c r="D19" s="14" t="inlineStr">
        <is>
          <t>Feb-26</t>
        </is>
      </c>
      <c r="E19" s="14" t="inlineStr">
        <is>
          <t>Mar-26</t>
        </is>
      </c>
      <c r="F19" s="14" t="inlineStr">
        <is>
          <t>Apr-26</t>
        </is>
      </c>
      <c r="G19" s="14" t="inlineStr">
        <is>
          <t>May-26</t>
        </is>
      </c>
      <c r="H19" s="14" t="inlineStr">
        <is>
          <t>Jun-26</t>
        </is>
      </c>
      <c r="I19" s="14" t="inlineStr">
        <is>
          <t>Jul-26</t>
        </is>
      </c>
      <c r="J19" s="14" t="inlineStr">
        <is>
          <t>Aug-26</t>
        </is>
      </c>
      <c r="K19" s="14" t="inlineStr">
        <is>
          <t>Sep-26</t>
        </is>
      </c>
      <c r="L19" s="14" t="inlineStr">
        <is>
          <t>Oct-26</t>
        </is>
      </c>
      <c r="M19" s="14" t="inlineStr">
        <is>
          <t>Nov-26</t>
        </is>
      </c>
      <c r="N19" s="14" t="inlineStr">
        <is>
          <t>Dec-26</t>
        </is>
      </c>
      <c r="O19" s="14" t="inlineStr">
        <is>
          <t>FY26</t>
        </is>
      </c>
    </row>
    <row r="20">
      <c r="B20" s="22" t="inlineStr">
        <is>
          <t>Operations</t>
        </is>
      </c>
      <c r="C20" s="16" t="n">
        <v>2</v>
      </c>
      <c r="D20" s="16" t="n">
        <v>1</v>
      </c>
      <c r="E20" s="16" t="n">
        <v>2</v>
      </c>
      <c r="F20" s="16" t="n">
        <v>1</v>
      </c>
      <c r="G20" s="16" t="n">
        <v>2</v>
      </c>
      <c r="H20" s="16" t="n">
        <v>1</v>
      </c>
      <c r="I20" s="16" t="n">
        <v>2</v>
      </c>
      <c r="J20" s="16" t="n">
        <v>2</v>
      </c>
      <c r="K20" s="16" t="n">
        <v>1</v>
      </c>
      <c r="L20" s="16" t="n">
        <v>2</v>
      </c>
      <c r="M20" s="16" t="n">
        <v>2</v>
      </c>
      <c r="N20" s="16" t="n">
        <v>1</v>
      </c>
      <c r="O20" s="23">
        <f>SUM(C20:N20)</f>
        <v/>
      </c>
    </row>
    <row r="21">
      <c r="B21" s="22" t="inlineStr">
        <is>
          <t>Supply Chain</t>
        </is>
      </c>
      <c r="C21" s="16" t="n">
        <v>1</v>
      </c>
      <c r="D21" s="16" t="n">
        <v>0</v>
      </c>
      <c r="E21" s="16" t="n">
        <v>1</v>
      </c>
      <c r="F21" s="16" t="n">
        <v>0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0</v>
      </c>
      <c r="L21" s="16" t="n">
        <v>1</v>
      </c>
      <c r="M21" s="16" t="n">
        <v>1</v>
      </c>
      <c r="N21" s="16" t="n">
        <v>0</v>
      </c>
      <c r="O21" s="23">
        <f>SUM(C21:N21)</f>
        <v/>
      </c>
    </row>
    <row r="22">
      <c r="B22" s="22" t="inlineStr">
        <is>
          <t>Sales</t>
        </is>
      </c>
      <c r="C22" s="16" t="n">
        <v>1</v>
      </c>
      <c r="D22" s="16" t="n">
        <v>0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2</v>
      </c>
      <c r="J22" s="16" t="n">
        <v>0</v>
      </c>
      <c r="K22" s="16" t="n">
        <v>1</v>
      </c>
      <c r="L22" s="16" t="n">
        <v>1</v>
      </c>
      <c r="M22" s="16" t="n">
        <v>0</v>
      </c>
      <c r="N22" s="16" t="n">
        <v>1</v>
      </c>
      <c r="O22" s="23">
        <f>SUM(C22:N22)</f>
        <v/>
      </c>
    </row>
    <row r="23">
      <c r="B23" s="22" t="inlineStr">
        <is>
          <t>Marketing</t>
        </is>
      </c>
      <c r="C23" s="16" t="n">
        <v>0</v>
      </c>
      <c r="D23" s="16" t="n">
        <v>1</v>
      </c>
      <c r="E23" s="16" t="n">
        <v>0</v>
      </c>
      <c r="F23" s="16" t="n">
        <v>0</v>
      </c>
      <c r="G23" s="16" t="n">
        <v>0</v>
      </c>
      <c r="H23" s="16" t="n">
        <v>1</v>
      </c>
      <c r="I23" s="16" t="n">
        <v>0</v>
      </c>
      <c r="J23" s="16" t="n">
        <v>1</v>
      </c>
      <c r="K23" s="16" t="n">
        <v>0</v>
      </c>
      <c r="L23" s="16" t="n">
        <v>0</v>
      </c>
      <c r="M23" s="16" t="n">
        <v>0</v>
      </c>
      <c r="N23" s="16" t="n">
        <v>0</v>
      </c>
      <c r="O23" s="23">
        <f>SUM(C23:N23)</f>
        <v/>
      </c>
    </row>
    <row r="24">
      <c r="B24" s="22" t="inlineStr">
        <is>
          <t>Finance</t>
        </is>
      </c>
      <c r="C24" s="16" t="n">
        <v>0</v>
      </c>
      <c r="D24" s="16" t="n">
        <v>0</v>
      </c>
      <c r="E24" s="16" t="n">
        <v>1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1</v>
      </c>
      <c r="M24" s="16" t="n">
        <v>0</v>
      </c>
      <c r="N24" s="16" t="n">
        <v>0</v>
      </c>
      <c r="O24" s="23">
        <f>SUM(C24:N24)</f>
        <v/>
      </c>
    </row>
    <row r="25">
      <c r="B25" s="22" t="inlineStr">
        <is>
          <t>HR</t>
        </is>
      </c>
      <c r="C25" s="16" t="n">
        <v>0</v>
      </c>
      <c r="D25" s="16" t="n">
        <v>0</v>
      </c>
      <c r="E25" s="16" t="n">
        <v>0</v>
      </c>
      <c r="F25" s="16" t="n">
        <v>1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23">
        <f>SUM(C25:N25)</f>
        <v/>
      </c>
    </row>
    <row r="26">
      <c r="B26" s="22" t="inlineStr">
        <is>
          <t>Quality / R&amp;D</t>
        </is>
      </c>
      <c r="C26" s="16" t="n">
        <v>1</v>
      </c>
      <c r="D26" s="16" t="n">
        <v>0</v>
      </c>
      <c r="E26" s="16" t="n">
        <v>0</v>
      </c>
      <c r="F26" s="16" t="n">
        <v>0</v>
      </c>
      <c r="G26" s="16" t="n">
        <v>1</v>
      </c>
      <c r="H26" s="16" t="n">
        <v>0</v>
      </c>
      <c r="I26" s="16" t="n">
        <v>1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23">
        <f>SUM(C26:N26)</f>
        <v/>
      </c>
    </row>
    <row r="27">
      <c r="B27" s="22" t="inlineStr">
        <is>
          <t>G&amp;A / IT</t>
        </is>
      </c>
      <c r="C27" s="16" t="n">
        <v>0</v>
      </c>
      <c r="D27" s="16" t="n">
        <v>0</v>
      </c>
      <c r="E27" s="16" t="n">
        <v>0</v>
      </c>
      <c r="F27" s="16" t="n">
        <v>1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1</v>
      </c>
      <c r="L27" s="16" t="n">
        <v>0</v>
      </c>
      <c r="M27" s="16" t="n">
        <v>0</v>
      </c>
      <c r="N27" s="16" t="n">
        <v>0</v>
      </c>
      <c r="O27" s="23">
        <f>SUM(C27:N27)</f>
        <v/>
      </c>
    </row>
    <row r="28">
      <c r="B28" s="15" t="inlineStr">
        <is>
          <t>Total</t>
        </is>
      </c>
      <c r="C28" s="19">
        <f>SUM(C20:C27)</f>
        <v/>
      </c>
      <c r="D28" s="19">
        <f>SUM(D20:D27)</f>
        <v/>
      </c>
      <c r="E28" s="19">
        <f>SUM(E20:E27)</f>
        <v/>
      </c>
      <c r="F28" s="19">
        <f>SUM(F20:F27)</f>
        <v/>
      </c>
      <c r="G28" s="19">
        <f>SUM(G20:G27)</f>
        <v/>
      </c>
      <c r="H28" s="19">
        <f>SUM(H20:H27)</f>
        <v/>
      </c>
      <c r="I28" s="19">
        <f>SUM(I20:I27)</f>
        <v/>
      </c>
      <c r="J28" s="19">
        <f>SUM(J20:J27)</f>
        <v/>
      </c>
      <c r="K28" s="19">
        <f>SUM(K20:K27)</f>
        <v/>
      </c>
      <c r="L28" s="19">
        <f>SUM(L20:L27)</f>
        <v/>
      </c>
      <c r="M28" s="19">
        <f>SUM(M20:M27)</f>
        <v/>
      </c>
      <c r="N28" s="19">
        <f>SUM(N20:N27)</f>
        <v/>
      </c>
      <c r="O28" s="19">
        <f>SUM(O20:O27)</f>
        <v/>
      </c>
    </row>
    <row r="30">
      <c r="B30" s="12" t="inlineStr">
        <is>
          <t>Modeled attrition exits  = ROUND(opening × monthly attrition, 1)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>
      <c r="C31" s="14" t="inlineStr">
        <is>
          <t>Jan-26</t>
        </is>
      </c>
      <c r="D31" s="14" t="inlineStr">
        <is>
          <t>Feb-26</t>
        </is>
      </c>
      <c r="E31" s="14" t="inlineStr">
        <is>
          <t>Mar-26</t>
        </is>
      </c>
      <c r="F31" s="14" t="inlineStr">
        <is>
          <t>Apr-26</t>
        </is>
      </c>
      <c r="G31" s="14" t="inlineStr">
        <is>
          <t>May-26</t>
        </is>
      </c>
      <c r="H31" s="14" t="inlineStr">
        <is>
          <t>Jun-26</t>
        </is>
      </c>
      <c r="I31" s="14" t="inlineStr">
        <is>
          <t>Jul-26</t>
        </is>
      </c>
      <c r="J31" s="14" t="inlineStr">
        <is>
          <t>Aug-26</t>
        </is>
      </c>
      <c r="K31" s="14" t="inlineStr">
        <is>
          <t>Sep-26</t>
        </is>
      </c>
      <c r="L31" s="14" t="inlineStr">
        <is>
          <t>Oct-26</t>
        </is>
      </c>
      <c r="M31" s="14" t="inlineStr">
        <is>
          <t>Nov-26</t>
        </is>
      </c>
      <c r="N31" s="14" t="inlineStr">
        <is>
          <t>Dec-26</t>
        </is>
      </c>
      <c r="O31" s="14" t="inlineStr">
        <is>
          <t>FY26</t>
        </is>
      </c>
    </row>
    <row r="32">
      <c r="B32" s="22" t="inlineStr">
        <is>
          <t>Operations</t>
        </is>
      </c>
      <c r="C32" s="23">
        <f>ROUND(C8*'01_Assumptions'!$F$12,1)</f>
        <v/>
      </c>
      <c r="D32" s="23">
        <f>ROUND(D8*'01_Assumptions'!$F$12,1)</f>
        <v/>
      </c>
      <c r="E32" s="23">
        <f>ROUND(E8*'01_Assumptions'!$F$12,1)</f>
        <v/>
      </c>
      <c r="F32" s="23">
        <f>ROUND(F8*'01_Assumptions'!$F$12,1)</f>
        <v/>
      </c>
      <c r="G32" s="23">
        <f>ROUND(G8*'01_Assumptions'!$F$12,1)</f>
        <v/>
      </c>
      <c r="H32" s="23">
        <f>ROUND(H8*'01_Assumptions'!$F$12,1)</f>
        <v/>
      </c>
      <c r="I32" s="23">
        <f>ROUND(I8*'01_Assumptions'!$F$12,1)</f>
        <v/>
      </c>
      <c r="J32" s="23">
        <f>ROUND(J8*'01_Assumptions'!$F$12,1)</f>
        <v/>
      </c>
      <c r="K32" s="23">
        <f>ROUND(K8*'01_Assumptions'!$F$12,1)</f>
        <v/>
      </c>
      <c r="L32" s="23">
        <f>ROUND(L8*'01_Assumptions'!$F$12,1)</f>
        <v/>
      </c>
      <c r="M32" s="23">
        <f>ROUND(M8*'01_Assumptions'!$F$12,1)</f>
        <v/>
      </c>
      <c r="N32" s="23">
        <f>ROUND(N8*'01_Assumptions'!$F$12,1)</f>
        <v/>
      </c>
      <c r="O32" s="23">
        <f>SUM(C32:N32)</f>
        <v/>
      </c>
    </row>
    <row r="33">
      <c r="B33" s="22" t="inlineStr">
        <is>
          <t>Supply Chain</t>
        </is>
      </c>
      <c r="C33" s="23">
        <f>ROUND(C9*'01_Assumptions'!$F$13,1)</f>
        <v/>
      </c>
      <c r="D33" s="23">
        <f>ROUND(D9*'01_Assumptions'!$F$13,1)</f>
        <v/>
      </c>
      <c r="E33" s="23">
        <f>ROUND(E9*'01_Assumptions'!$F$13,1)</f>
        <v/>
      </c>
      <c r="F33" s="23">
        <f>ROUND(F9*'01_Assumptions'!$F$13,1)</f>
        <v/>
      </c>
      <c r="G33" s="23">
        <f>ROUND(G9*'01_Assumptions'!$F$13,1)</f>
        <v/>
      </c>
      <c r="H33" s="23">
        <f>ROUND(H9*'01_Assumptions'!$F$13,1)</f>
        <v/>
      </c>
      <c r="I33" s="23">
        <f>ROUND(I9*'01_Assumptions'!$F$13,1)</f>
        <v/>
      </c>
      <c r="J33" s="23">
        <f>ROUND(J9*'01_Assumptions'!$F$13,1)</f>
        <v/>
      </c>
      <c r="K33" s="23">
        <f>ROUND(K9*'01_Assumptions'!$F$13,1)</f>
        <v/>
      </c>
      <c r="L33" s="23">
        <f>ROUND(L9*'01_Assumptions'!$F$13,1)</f>
        <v/>
      </c>
      <c r="M33" s="23">
        <f>ROUND(M9*'01_Assumptions'!$F$13,1)</f>
        <v/>
      </c>
      <c r="N33" s="23">
        <f>ROUND(N9*'01_Assumptions'!$F$13,1)</f>
        <v/>
      </c>
      <c r="O33" s="23">
        <f>SUM(C33:N33)</f>
        <v/>
      </c>
    </row>
    <row r="34">
      <c r="B34" s="22" t="inlineStr">
        <is>
          <t>Sales</t>
        </is>
      </c>
      <c r="C34" s="23">
        <f>ROUND(C10*'01_Assumptions'!$F$14,1)</f>
        <v/>
      </c>
      <c r="D34" s="23">
        <f>ROUND(D10*'01_Assumptions'!$F$14,1)</f>
        <v/>
      </c>
      <c r="E34" s="23">
        <f>ROUND(E10*'01_Assumptions'!$F$14,1)</f>
        <v/>
      </c>
      <c r="F34" s="23">
        <f>ROUND(F10*'01_Assumptions'!$F$14,1)</f>
        <v/>
      </c>
      <c r="G34" s="23">
        <f>ROUND(G10*'01_Assumptions'!$F$14,1)</f>
        <v/>
      </c>
      <c r="H34" s="23">
        <f>ROUND(H10*'01_Assumptions'!$F$14,1)</f>
        <v/>
      </c>
      <c r="I34" s="23">
        <f>ROUND(I10*'01_Assumptions'!$F$14,1)</f>
        <v/>
      </c>
      <c r="J34" s="23">
        <f>ROUND(J10*'01_Assumptions'!$F$14,1)</f>
        <v/>
      </c>
      <c r="K34" s="23">
        <f>ROUND(K10*'01_Assumptions'!$F$14,1)</f>
        <v/>
      </c>
      <c r="L34" s="23">
        <f>ROUND(L10*'01_Assumptions'!$F$14,1)</f>
        <v/>
      </c>
      <c r="M34" s="23">
        <f>ROUND(M10*'01_Assumptions'!$F$14,1)</f>
        <v/>
      </c>
      <c r="N34" s="23">
        <f>ROUND(N10*'01_Assumptions'!$F$14,1)</f>
        <v/>
      </c>
      <c r="O34" s="23">
        <f>SUM(C34:N34)</f>
        <v/>
      </c>
    </row>
    <row r="35">
      <c r="B35" s="22" t="inlineStr">
        <is>
          <t>Marketing</t>
        </is>
      </c>
      <c r="C35" s="23">
        <f>ROUND(C11*'01_Assumptions'!$F$15,1)</f>
        <v/>
      </c>
      <c r="D35" s="23">
        <f>ROUND(D11*'01_Assumptions'!$F$15,1)</f>
        <v/>
      </c>
      <c r="E35" s="23">
        <f>ROUND(E11*'01_Assumptions'!$F$15,1)</f>
        <v/>
      </c>
      <c r="F35" s="23">
        <f>ROUND(F11*'01_Assumptions'!$F$15,1)</f>
        <v/>
      </c>
      <c r="G35" s="23">
        <f>ROUND(G11*'01_Assumptions'!$F$15,1)</f>
        <v/>
      </c>
      <c r="H35" s="23">
        <f>ROUND(H11*'01_Assumptions'!$F$15,1)</f>
        <v/>
      </c>
      <c r="I35" s="23">
        <f>ROUND(I11*'01_Assumptions'!$F$15,1)</f>
        <v/>
      </c>
      <c r="J35" s="23">
        <f>ROUND(J11*'01_Assumptions'!$F$15,1)</f>
        <v/>
      </c>
      <c r="K35" s="23">
        <f>ROUND(K11*'01_Assumptions'!$F$15,1)</f>
        <v/>
      </c>
      <c r="L35" s="23">
        <f>ROUND(L11*'01_Assumptions'!$F$15,1)</f>
        <v/>
      </c>
      <c r="M35" s="23">
        <f>ROUND(M11*'01_Assumptions'!$F$15,1)</f>
        <v/>
      </c>
      <c r="N35" s="23">
        <f>ROUND(N11*'01_Assumptions'!$F$15,1)</f>
        <v/>
      </c>
      <c r="O35" s="23">
        <f>SUM(C35:N35)</f>
        <v/>
      </c>
    </row>
    <row r="36">
      <c r="B36" s="22" t="inlineStr">
        <is>
          <t>Finance</t>
        </is>
      </c>
      <c r="C36" s="23">
        <f>ROUND(C12*'01_Assumptions'!$F$16,1)</f>
        <v/>
      </c>
      <c r="D36" s="23">
        <f>ROUND(D12*'01_Assumptions'!$F$16,1)</f>
        <v/>
      </c>
      <c r="E36" s="23">
        <f>ROUND(E12*'01_Assumptions'!$F$16,1)</f>
        <v/>
      </c>
      <c r="F36" s="23">
        <f>ROUND(F12*'01_Assumptions'!$F$16,1)</f>
        <v/>
      </c>
      <c r="G36" s="23">
        <f>ROUND(G12*'01_Assumptions'!$F$16,1)</f>
        <v/>
      </c>
      <c r="H36" s="23">
        <f>ROUND(H12*'01_Assumptions'!$F$16,1)</f>
        <v/>
      </c>
      <c r="I36" s="23">
        <f>ROUND(I12*'01_Assumptions'!$F$16,1)</f>
        <v/>
      </c>
      <c r="J36" s="23">
        <f>ROUND(J12*'01_Assumptions'!$F$16,1)</f>
        <v/>
      </c>
      <c r="K36" s="23">
        <f>ROUND(K12*'01_Assumptions'!$F$16,1)</f>
        <v/>
      </c>
      <c r="L36" s="23">
        <f>ROUND(L12*'01_Assumptions'!$F$16,1)</f>
        <v/>
      </c>
      <c r="M36" s="23">
        <f>ROUND(M12*'01_Assumptions'!$F$16,1)</f>
        <v/>
      </c>
      <c r="N36" s="23">
        <f>ROUND(N12*'01_Assumptions'!$F$16,1)</f>
        <v/>
      </c>
      <c r="O36" s="23">
        <f>SUM(C36:N36)</f>
        <v/>
      </c>
    </row>
    <row r="37">
      <c r="B37" s="22" t="inlineStr">
        <is>
          <t>HR</t>
        </is>
      </c>
      <c r="C37" s="23">
        <f>ROUND(C13*'01_Assumptions'!$F$17,1)</f>
        <v/>
      </c>
      <c r="D37" s="23">
        <f>ROUND(D13*'01_Assumptions'!$F$17,1)</f>
        <v/>
      </c>
      <c r="E37" s="23">
        <f>ROUND(E13*'01_Assumptions'!$F$17,1)</f>
        <v/>
      </c>
      <c r="F37" s="23">
        <f>ROUND(F13*'01_Assumptions'!$F$17,1)</f>
        <v/>
      </c>
      <c r="G37" s="23">
        <f>ROUND(G13*'01_Assumptions'!$F$17,1)</f>
        <v/>
      </c>
      <c r="H37" s="23">
        <f>ROUND(H13*'01_Assumptions'!$F$17,1)</f>
        <v/>
      </c>
      <c r="I37" s="23">
        <f>ROUND(I13*'01_Assumptions'!$F$17,1)</f>
        <v/>
      </c>
      <c r="J37" s="23">
        <f>ROUND(J13*'01_Assumptions'!$F$17,1)</f>
        <v/>
      </c>
      <c r="K37" s="23">
        <f>ROUND(K13*'01_Assumptions'!$F$17,1)</f>
        <v/>
      </c>
      <c r="L37" s="23">
        <f>ROUND(L13*'01_Assumptions'!$F$17,1)</f>
        <v/>
      </c>
      <c r="M37" s="23">
        <f>ROUND(M13*'01_Assumptions'!$F$17,1)</f>
        <v/>
      </c>
      <c r="N37" s="23">
        <f>ROUND(N13*'01_Assumptions'!$F$17,1)</f>
        <v/>
      </c>
      <c r="O37" s="23">
        <f>SUM(C37:N37)</f>
        <v/>
      </c>
    </row>
    <row r="38">
      <c r="B38" s="22" t="inlineStr">
        <is>
          <t>Quality / R&amp;D</t>
        </is>
      </c>
      <c r="C38" s="23">
        <f>ROUND(C14*'01_Assumptions'!$F$18,1)</f>
        <v/>
      </c>
      <c r="D38" s="23">
        <f>ROUND(D14*'01_Assumptions'!$F$18,1)</f>
        <v/>
      </c>
      <c r="E38" s="23">
        <f>ROUND(E14*'01_Assumptions'!$F$18,1)</f>
        <v/>
      </c>
      <c r="F38" s="23">
        <f>ROUND(F14*'01_Assumptions'!$F$18,1)</f>
        <v/>
      </c>
      <c r="G38" s="23">
        <f>ROUND(G14*'01_Assumptions'!$F$18,1)</f>
        <v/>
      </c>
      <c r="H38" s="23">
        <f>ROUND(H14*'01_Assumptions'!$F$18,1)</f>
        <v/>
      </c>
      <c r="I38" s="23">
        <f>ROUND(I14*'01_Assumptions'!$F$18,1)</f>
        <v/>
      </c>
      <c r="J38" s="23">
        <f>ROUND(J14*'01_Assumptions'!$F$18,1)</f>
        <v/>
      </c>
      <c r="K38" s="23">
        <f>ROUND(K14*'01_Assumptions'!$F$18,1)</f>
        <v/>
      </c>
      <c r="L38" s="23">
        <f>ROUND(L14*'01_Assumptions'!$F$18,1)</f>
        <v/>
      </c>
      <c r="M38" s="23">
        <f>ROUND(M14*'01_Assumptions'!$F$18,1)</f>
        <v/>
      </c>
      <c r="N38" s="23">
        <f>ROUND(N14*'01_Assumptions'!$F$18,1)</f>
        <v/>
      </c>
      <c r="O38" s="23">
        <f>SUM(C38:N38)</f>
        <v/>
      </c>
    </row>
    <row r="39">
      <c r="B39" s="22" t="inlineStr">
        <is>
          <t>G&amp;A / IT</t>
        </is>
      </c>
      <c r="C39" s="23">
        <f>ROUND(C15*'01_Assumptions'!$F$19,1)</f>
        <v/>
      </c>
      <c r="D39" s="23">
        <f>ROUND(D15*'01_Assumptions'!$F$19,1)</f>
        <v/>
      </c>
      <c r="E39" s="23">
        <f>ROUND(E15*'01_Assumptions'!$F$19,1)</f>
        <v/>
      </c>
      <c r="F39" s="23">
        <f>ROUND(F15*'01_Assumptions'!$F$19,1)</f>
        <v/>
      </c>
      <c r="G39" s="23">
        <f>ROUND(G15*'01_Assumptions'!$F$19,1)</f>
        <v/>
      </c>
      <c r="H39" s="23">
        <f>ROUND(H15*'01_Assumptions'!$F$19,1)</f>
        <v/>
      </c>
      <c r="I39" s="23">
        <f>ROUND(I15*'01_Assumptions'!$F$19,1)</f>
        <v/>
      </c>
      <c r="J39" s="23">
        <f>ROUND(J15*'01_Assumptions'!$F$19,1)</f>
        <v/>
      </c>
      <c r="K39" s="23">
        <f>ROUND(K15*'01_Assumptions'!$F$19,1)</f>
        <v/>
      </c>
      <c r="L39" s="23">
        <f>ROUND(L15*'01_Assumptions'!$F$19,1)</f>
        <v/>
      </c>
      <c r="M39" s="23">
        <f>ROUND(M15*'01_Assumptions'!$F$19,1)</f>
        <v/>
      </c>
      <c r="N39" s="23">
        <f>ROUND(N15*'01_Assumptions'!$F$19,1)</f>
        <v/>
      </c>
      <c r="O39" s="23">
        <f>SUM(C39:N39)</f>
        <v/>
      </c>
    </row>
    <row r="40">
      <c r="B40" s="15" t="inlineStr">
        <is>
          <t>Total</t>
        </is>
      </c>
      <c r="C40" s="19">
        <f>SUM(C32:C39)</f>
        <v/>
      </c>
      <c r="D40" s="19">
        <f>SUM(D32:D39)</f>
        <v/>
      </c>
      <c r="E40" s="19">
        <f>SUM(E32:E39)</f>
        <v/>
      </c>
      <c r="F40" s="19">
        <f>SUM(F32:F39)</f>
        <v/>
      </c>
      <c r="G40" s="19">
        <f>SUM(G32:G39)</f>
        <v/>
      </c>
      <c r="H40" s="19">
        <f>SUM(H32:H39)</f>
        <v/>
      </c>
      <c r="I40" s="19">
        <f>SUM(I32:I39)</f>
        <v/>
      </c>
      <c r="J40" s="19">
        <f>SUM(J32:J39)</f>
        <v/>
      </c>
      <c r="K40" s="19">
        <f>SUM(K32:K39)</f>
        <v/>
      </c>
      <c r="L40" s="19">
        <f>SUM(L32:L39)</f>
        <v/>
      </c>
      <c r="M40" s="19">
        <f>SUM(M32:M39)</f>
        <v/>
      </c>
      <c r="N40" s="19">
        <f>SUM(N32:N39)</f>
        <v/>
      </c>
      <c r="O40" s="19">
        <f>SUM(O32:O39)</f>
        <v/>
      </c>
    </row>
    <row r="42">
      <c r="B42" s="12" t="inlineStr">
        <is>
          <t>Other exits — latest view, input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>
      <c r="C43" s="14" t="inlineStr">
        <is>
          <t>Jan-26</t>
        </is>
      </c>
      <c r="D43" s="14" t="inlineStr">
        <is>
          <t>Feb-26</t>
        </is>
      </c>
      <c r="E43" s="14" t="inlineStr">
        <is>
          <t>Mar-26</t>
        </is>
      </c>
      <c r="F43" s="14" t="inlineStr">
        <is>
          <t>Apr-26</t>
        </is>
      </c>
      <c r="G43" s="14" t="inlineStr">
        <is>
          <t>May-26</t>
        </is>
      </c>
      <c r="H43" s="14" t="inlineStr">
        <is>
          <t>Jun-26</t>
        </is>
      </c>
      <c r="I43" s="14" t="inlineStr">
        <is>
          <t>Jul-26</t>
        </is>
      </c>
      <c r="J43" s="14" t="inlineStr">
        <is>
          <t>Aug-26</t>
        </is>
      </c>
      <c r="K43" s="14" t="inlineStr">
        <is>
          <t>Sep-26</t>
        </is>
      </c>
      <c r="L43" s="14" t="inlineStr">
        <is>
          <t>Oct-26</t>
        </is>
      </c>
      <c r="M43" s="14" t="inlineStr">
        <is>
          <t>Nov-26</t>
        </is>
      </c>
      <c r="N43" s="14" t="inlineStr">
        <is>
          <t>Dec-26</t>
        </is>
      </c>
      <c r="O43" s="14" t="inlineStr">
        <is>
          <t>FY26</t>
        </is>
      </c>
    </row>
    <row r="44">
      <c r="B44" s="22" t="inlineStr">
        <is>
          <t>Operations</t>
        </is>
      </c>
      <c r="C44" s="16" t="n">
        <v>0</v>
      </c>
      <c r="D44" s="16" t="n">
        <v>1</v>
      </c>
      <c r="E44" s="16" t="n">
        <v>0</v>
      </c>
      <c r="F44" s="16" t="n">
        <v>0</v>
      </c>
      <c r="G44" s="16" t="n">
        <v>0</v>
      </c>
      <c r="H44" s="16" t="n">
        <v>1</v>
      </c>
      <c r="I44" s="16" t="n">
        <v>0</v>
      </c>
      <c r="J44" s="16" t="n">
        <v>1</v>
      </c>
      <c r="K44" s="16" t="n">
        <v>0</v>
      </c>
      <c r="L44" s="16" t="n">
        <v>0</v>
      </c>
      <c r="M44" s="16" t="n">
        <v>0</v>
      </c>
      <c r="N44" s="16" t="n">
        <v>0</v>
      </c>
      <c r="O44" s="23">
        <f>SUM(C44:N44)</f>
        <v/>
      </c>
    </row>
    <row r="45">
      <c r="B45" s="22" t="inlineStr">
        <is>
          <t>Supply Chain</t>
        </is>
      </c>
      <c r="C45" s="16" t="n">
        <v>0</v>
      </c>
      <c r="D45" s="16" t="n">
        <v>0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23">
        <f>SUM(C45:N45)</f>
        <v/>
      </c>
    </row>
    <row r="46">
      <c r="B46" s="22" t="inlineStr">
        <is>
          <t>Sales</t>
        </is>
      </c>
      <c r="C46" s="16" t="n">
        <v>0</v>
      </c>
      <c r="D46" s="16" t="n">
        <v>1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23">
        <f>SUM(C46:N46)</f>
        <v/>
      </c>
    </row>
    <row r="47">
      <c r="B47" s="22" t="inlineStr">
        <is>
          <t>Marketing</t>
        </is>
      </c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23">
        <f>SUM(C47:N47)</f>
        <v/>
      </c>
    </row>
    <row r="48">
      <c r="B48" s="22" t="inlineStr">
        <is>
          <t>Finance</t>
        </is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0</v>
      </c>
      <c r="N48" s="16" t="n">
        <v>0</v>
      </c>
      <c r="O48" s="23">
        <f>SUM(C48:N48)</f>
        <v/>
      </c>
    </row>
    <row r="49">
      <c r="B49" s="22" t="inlineStr">
        <is>
          <t>HR</t>
        </is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23">
        <f>SUM(C49:N49)</f>
        <v/>
      </c>
    </row>
    <row r="50">
      <c r="B50" s="22" t="inlineStr">
        <is>
          <t>Quality / R&amp;D</t>
        </is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23">
        <f>SUM(C50:N50)</f>
        <v/>
      </c>
    </row>
    <row r="51">
      <c r="B51" s="22" t="inlineStr">
        <is>
          <t>G&amp;A / IT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23">
        <f>SUM(C51:N51)</f>
        <v/>
      </c>
    </row>
    <row r="52">
      <c r="B52" s="15" t="inlineStr">
        <is>
          <t>Total</t>
        </is>
      </c>
      <c r="C52" s="19">
        <f>SUM(C44:C51)</f>
        <v/>
      </c>
      <c r="D52" s="19">
        <f>SUM(D44:D51)</f>
        <v/>
      </c>
      <c r="E52" s="19">
        <f>SUM(E44:E51)</f>
        <v/>
      </c>
      <c r="F52" s="19">
        <f>SUM(F44:F51)</f>
        <v/>
      </c>
      <c r="G52" s="19">
        <f>SUM(G44:G51)</f>
        <v/>
      </c>
      <c r="H52" s="19">
        <f>SUM(H44:H51)</f>
        <v/>
      </c>
      <c r="I52" s="19">
        <f>SUM(I44:I51)</f>
        <v/>
      </c>
      <c r="J52" s="19">
        <f>SUM(J44:J51)</f>
        <v/>
      </c>
      <c r="K52" s="19">
        <f>SUM(K44:K51)</f>
        <v/>
      </c>
      <c r="L52" s="19">
        <f>SUM(L44:L51)</f>
        <v/>
      </c>
      <c r="M52" s="19">
        <f>SUM(M44:M51)</f>
        <v/>
      </c>
      <c r="N52" s="19">
        <f>SUM(N44:N51)</f>
        <v/>
      </c>
      <c r="O52" s="19">
        <f>SUM(O44:O51)</f>
        <v/>
      </c>
    </row>
    <row r="54">
      <c r="B54" s="12" t="inlineStr">
        <is>
          <t>Total exits  = attrition + other</t>
        </is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>
      <c r="C55" s="14" t="inlineStr">
        <is>
          <t>Jan-26</t>
        </is>
      </c>
      <c r="D55" s="14" t="inlineStr">
        <is>
          <t>Feb-26</t>
        </is>
      </c>
      <c r="E55" s="14" t="inlineStr">
        <is>
          <t>Mar-26</t>
        </is>
      </c>
      <c r="F55" s="14" t="inlineStr">
        <is>
          <t>Apr-26</t>
        </is>
      </c>
      <c r="G55" s="14" t="inlineStr">
        <is>
          <t>May-26</t>
        </is>
      </c>
      <c r="H55" s="14" t="inlineStr">
        <is>
          <t>Jun-26</t>
        </is>
      </c>
      <c r="I55" s="14" t="inlineStr">
        <is>
          <t>Jul-26</t>
        </is>
      </c>
      <c r="J55" s="14" t="inlineStr">
        <is>
          <t>Aug-26</t>
        </is>
      </c>
      <c r="K55" s="14" t="inlineStr">
        <is>
          <t>Sep-26</t>
        </is>
      </c>
      <c r="L55" s="14" t="inlineStr">
        <is>
          <t>Oct-26</t>
        </is>
      </c>
      <c r="M55" s="14" t="inlineStr">
        <is>
          <t>Nov-26</t>
        </is>
      </c>
      <c r="N55" s="14" t="inlineStr">
        <is>
          <t>Dec-26</t>
        </is>
      </c>
      <c r="O55" s="14" t="inlineStr">
        <is>
          <t>FY26</t>
        </is>
      </c>
    </row>
    <row r="56">
      <c r="B56" s="22" t="inlineStr">
        <is>
          <t>Operations</t>
        </is>
      </c>
      <c r="C56" s="23">
        <f>C32+C44</f>
        <v/>
      </c>
      <c r="D56" s="23">
        <f>D32+D44</f>
        <v/>
      </c>
      <c r="E56" s="23">
        <f>E32+E44</f>
        <v/>
      </c>
      <c r="F56" s="23">
        <f>F32+F44</f>
        <v/>
      </c>
      <c r="G56" s="23">
        <f>G32+G44</f>
        <v/>
      </c>
      <c r="H56" s="23">
        <f>H32+H44</f>
        <v/>
      </c>
      <c r="I56" s="23">
        <f>I32+I44</f>
        <v/>
      </c>
      <c r="J56" s="23">
        <f>J32+J44</f>
        <v/>
      </c>
      <c r="K56" s="23">
        <f>K32+K44</f>
        <v/>
      </c>
      <c r="L56" s="23">
        <f>L32+L44</f>
        <v/>
      </c>
      <c r="M56" s="23">
        <f>M32+M44</f>
        <v/>
      </c>
      <c r="N56" s="23">
        <f>N32+N44</f>
        <v/>
      </c>
      <c r="O56" s="23">
        <f>SUM(C56:N56)</f>
        <v/>
      </c>
    </row>
    <row r="57">
      <c r="B57" s="22" t="inlineStr">
        <is>
          <t>Supply Chain</t>
        </is>
      </c>
      <c r="C57" s="23">
        <f>C33+C45</f>
        <v/>
      </c>
      <c r="D57" s="23">
        <f>D33+D45</f>
        <v/>
      </c>
      <c r="E57" s="23">
        <f>E33+E45</f>
        <v/>
      </c>
      <c r="F57" s="23">
        <f>F33+F45</f>
        <v/>
      </c>
      <c r="G57" s="23">
        <f>G33+G45</f>
        <v/>
      </c>
      <c r="H57" s="23">
        <f>H33+H45</f>
        <v/>
      </c>
      <c r="I57" s="23">
        <f>I33+I45</f>
        <v/>
      </c>
      <c r="J57" s="23">
        <f>J33+J45</f>
        <v/>
      </c>
      <c r="K57" s="23">
        <f>K33+K45</f>
        <v/>
      </c>
      <c r="L57" s="23">
        <f>L33+L45</f>
        <v/>
      </c>
      <c r="M57" s="23">
        <f>M33+M45</f>
        <v/>
      </c>
      <c r="N57" s="23">
        <f>N33+N45</f>
        <v/>
      </c>
      <c r="O57" s="23">
        <f>SUM(C57:N57)</f>
        <v/>
      </c>
    </row>
    <row r="58">
      <c r="B58" s="22" t="inlineStr">
        <is>
          <t>Sales</t>
        </is>
      </c>
      <c r="C58" s="23">
        <f>C34+C46</f>
        <v/>
      </c>
      <c r="D58" s="23">
        <f>D34+D46</f>
        <v/>
      </c>
      <c r="E58" s="23">
        <f>E34+E46</f>
        <v/>
      </c>
      <c r="F58" s="23">
        <f>F34+F46</f>
        <v/>
      </c>
      <c r="G58" s="23">
        <f>G34+G46</f>
        <v/>
      </c>
      <c r="H58" s="23">
        <f>H34+H46</f>
        <v/>
      </c>
      <c r="I58" s="23">
        <f>I34+I46</f>
        <v/>
      </c>
      <c r="J58" s="23">
        <f>J34+J46</f>
        <v/>
      </c>
      <c r="K58" s="23">
        <f>K34+K46</f>
        <v/>
      </c>
      <c r="L58" s="23">
        <f>L34+L46</f>
        <v/>
      </c>
      <c r="M58" s="23">
        <f>M34+M46</f>
        <v/>
      </c>
      <c r="N58" s="23">
        <f>N34+N46</f>
        <v/>
      </c>
      <c r="O58" s="23">
        <f>SUM(C58:N58)</f>
        <v/>
      </c>
    </row>
    <row r="59">
      <c r="B59" s="22" t="inlineStr">
        <is>
          <t>Marketing</t>
        </is>
      </c>
      <c r="C59" s="23">
        <f>C35+C47</f>
        <v/>
      </c>
      <c r="D59" s="23">
        <f>D35+D47</f>
        <v/>
      </c>
      <c r="E59" s="23">
        <f>E35+E47</f>
        <v/>
      </c>
      <c r="F59" s="23">
        <f>F35+F47</f>
        <v/>
      </c>
      <c r="G59" s="23">
        <f>G35+G47</f>
        <v/>
      </c>
      <c r="H59" s="23">
        <f>H35+H47</f>
        <v/>
      </c>
      <c r="I59" s="23">
        <f>I35+I47</f>
        <v/>
      </c>
      <c r="J59" s="23">
        <f>J35+J47</f>
        <v/>
      </c>
      <c r="K59" s="23">
        <f>K35+K47</f>
        <v/>
      </c>
      <c r="L59" s="23">
        <f>L35+L47</f>
        <v/>
      </c>
      <c r="M59" s="23">
        <f>M35+M47</f>
        <v/>
      </c>
      <c r="N59" s="23">
        <f>N35+N47</f>
        <v/>
      </c>
      <c r="O59" s="23">
        <f>SUM(C59:N59)</f>
        <v/>
      </c>
    </row>
    <row r="60">
      <c r="B60" s="22" t="inlineStr">
        <is>
          <t>Finance</t>
        </is>
      </c>
      <c r="C60" s="23">
        <f>C36+C48</f>
        <v/>
      </c>
      <c r="D60" s="23">
        <f>D36+D48</f>
        <v/>
      </c>
      <c r="E60" s="23">
        <f>E36+E48</f>
        <v/>
      </c>
      <c r="F60" s="23">
        <f>F36+F48</f>
        <v/>
      </c>
      <c r="G60" s="23">
        <f>G36+G48</f>
        <v/>
      </c>
      <c r="H60" s="23">
        <f>H36+H48</f>
        <v/>
      </c>
      <c r="I60" s="23">
        <f>I36+I48</f>
        <v/>
      </c>
      <c r="J60" s="23">
        <f>J36+J48</f>
        <v/>
      </c>
      <c r="K60" s="23">
        <f>K36+K48</f>
        <v/>
      </c>
      <c r="L60" s="23">
        <f>L36+L48</f>
        <v/>
      </c>
      <c r="M60" s="23">
        <f>M36+M48</f>
        <v/>
      </c>
      <c r="N60" s="23">
        <f>N36+N48</f>
        <v/>
      </c>
      <c r="O60" s="23">
        <f>SUM(C60:N60)</f>
        <v/>
      </c>
    </row>
    <row r="61">
      <c r="B61" s="22" t="inlineStr">
        <is>
          <t>HR</t>
        </is>
      </c>
      <c r="C61" s="23">
        <f>C37+C49</f>
        <v/>
      </c>
      <c r="D61" s="23">
        <f>D37+D49</f>
        <v/>
      </c>
      <c r="E61" s="23">
        <f>E37+E49</f>
        <v/>
      </c>
      <c r="F61" s="23">
        <f>F37+F49</f>
        <v/>
      </c>
      <c r="G61" s="23">
        <f>G37+G49</f>
        <v/>
      </c>
      <c r="H61" s="23">
        <f>H37+H49</f>
        <v/>
      </c>
      <c r="I61" s="23">
        <f>I37+I49</f>
        <v/>
      </c>
      <c r="J61" s="23">
        <f>J37+J49</f>
        <v/>
      </c>
      <c r="K61" s="23">
        <f>K37+K49</f>
        <v/>
      </c>
      <c r="L61" s="23">
        <f>L37+L49</f>
        <v/>
      </c>
      <c r="M61" s="23">
        <f>M37+M49</f>
        <v/>
      </c>
      <c r="N61" s="23">
        <f>N37+N49</f>
        <v/>
      </c>
      <c r="O61" s="23">
        <f>SUM(C61:N61)</f>
        <v/>
      </c>
    </row>
    <row r="62">
      <c r="B62" s="22" t="inlineStr">
        <is>
          <t>Quality / R&amp;D</t>
        </is>
      </c>
      <c r="C62" s="23">
        <f>C38+C50</f>
        <v/>
      </c>
      <c r="D62" s="23">
        <f>D38+D50</f>
        <v/>
      </c>
      <c r="E62" s="23">
        <f>E38+E50</f>
        <v/>
      </c>
      <c r="F62" s="23">
        <f>F38+F50</f>
        <v/>
      </c>
      <c r="G62" s="23">
        <f>G38+G50</f>
        <v/>
      </c>
      <c r="H62" s="23">
        <f>H38+H50</f>
        <v/>
      </c>
      <c r="I62" s="23">
        <f>I38+I50</f>
        <v/>
      </c>
      <c r="J62" s="23">
        <f>J38+J50</f>
        <v/>
      </c>
      <c r="K62" s="23">
        <f>K38+K50</f>
        <v/>
      </c>
      <c r="L62" s="23">
        <f>L38+L50</f>
        <v/>
      </c>
      <c r="M62" s="23">
        <f>M38+M50</f>
        <v/>
      </c>
      <c r="N62" s="23">
        <f>N38+N50</f>
        <v/>
      </c>
      <c r="O62" s="23">
        <f>SUM(C62:N62)</f>
        <v/>
      </c>
    </row>
    <row r="63">
      <c r="B63" s="22" t="inlineStr">
        <is>
          <t>G&amp;A / IT</t>
        </is>
      </c>
      <c r="C63" s="23">
        <f>C39+C51</f>
        <v/>
      </c>
      <c r="D63" s="23">
        <f>D39+D51</f>
        <v/>
      </c>
      <c r="E63" s="23">
        <f>E39+E51</f>
        <v/>
      </c>
      <c r="F63" s="23">
        <f>F39+F51</f>
        <v/>
      </c>
      <c r="G63" s="23">
        <f>G39+G51</f>
        <v/>
      </c>
      <c r="H63" s="23">
        <f>H39+H51</f>
        <v/>
      </c>
      <c r="I63" s="23">
        <f>I39+I51</f>
        <v/>
      </c>
      <c r="J63" s="23">
        <f>J39+J51</f>
        <v/>
      </c>
      <c r="K63" s="23">
        <f>K39+K51</f>
        <v/>
      </c>
      <c r="L63" s="23">
        <f>L39+L51</f>
        <v/>
      </c>
      <c r="M63" s="23">
        <f>M39+M51</f>
        <v/>
      </c>
      <c r="N63" s="23">
        <f>N39+N51</f>
        <v/>
      </c>
      <c r="O63" s="23">
        <f>SUM(C63:N63)</f>
        <v/>
      </c>
    </row>
    <row r="64">
      <c r="B64" s="15" t="inlineStr">
        <is>
          <t>Total</t>
        </is>
      </c>
      <c r="C64" s="19">
        <f>SUM(C56:C63)</f>
        <v/>
      </c>
      <c r="D64" s="19">
        <f>SUM(D56:D63)</f>
        <v/>
      </c>
      <c r="E64" s="19">
        <f>SUM(E56:E63)</f>
        <v/>
      </c>
      <c r="F64" s="19">
        <f>SUM(F56:F63)</f>
        <v/>
      </c>
      <c r="G64" s="19">
        <f>SUM(G56:G63)</f>
        <v/>
      </c>
      <c r="H64" s="19">
        <f>SUM(H56:H63)</f>
        <v/>
      </c>
      <c r="I64" s="19">
        <f>SUM(I56:I63)</f>
        <v/>
      </c>
      <c r="J64" s="19">
        <f>SUM(J56:J63)</f>
        <v/>
      </c>
      <c r="K64" s="19">
        <f>SUM(K56:K63)</f>
        <v/>
      </c>
      <c r="L64" s="19">
        <f>SUM(L56:L63)</f>
        <v/>
      </c>
      <c r="M64" s="19">
        <f>SUM(M56:M63)</f>
        <v/>
      </c>
      <c r="N64" s="19">
        <f>SUM(N56:N63)</f>
        <v/>
      </c>
      <c r="O64" s="19">
        <f>SUM(O56:O63)</f>
        <v/>
      </c>
    </row>
    <row r="66">
      <c r="B66" s="12" t="inlineStr">
        <is>
          <t>Ending FTE (latest view)  = opening + hires − total exits</t>
        </is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>
      <c r="C67" s="14" t="inlineStr">
        <is>
          <t>Jan-26</t>
        </is>
      </c>
      <c r="D67" s="14" t="inlineStr">
        <is>
          <t>Feb-26</t>
        </is>
      </c>
      <c r="E67" s="14" t="inlineStr">
        <is>
          <t>Mar-26</t>
        </is>
      </c>
      <c r="F67" s="14" t="inlineStr">
        <is>
          <t>Apr-26</t>
        </is>
      </c>
      <c r="G67" s="14" t="inlineStr">
        <is>
          <t>May-26</t>
        </is>
      </c>
      <c r="H67" s="14" t="inlineStr">
        <is>
          <t>Jun-26</t>
        </is>
      </c>
      <c r="I67" s="14" t="inlineStr">
        <is>
          <t>Jul-26</t>
        </is>
      </c>
      <c r="J67" s="14" t="inlineStr">
        <is>
          <t>Aug-26</t>
        </is>
      </c>
      <c r="K67" s="14" t="inlineStr">
        <is>
          <t>Sep-26</t>
        </is>
      </c>
      <c r="L67" s="14" t="inlineStr">
        <is>
          <t>Oct-26</t>
        </is>
      </c>
      <c r="M67" s="14" t="inlineStr">
        <is>
          <t>Nov-26</t>
        </is>
      </c>
      <c r="N67" s="14" t="inlineStr">
        <is>
          <t>Dec-26</t>
        </is>
      </c>
      <c r="O67" s="14" t="inlineStr">
        <is>
          <t>FY26</t>
        </is>
      </c>
    </row>
    <row r="68">
      <c r="B68" s="22" t="inlineStr">
        <is>
          <t>Operations</t>
        </is>
      </c>
      <c r="C68" s="19">
        <f>C8+C20-C56</f>
        <v/>
      </c>
      <c r="D68" s="19">
        <f>D8+D20-D56</f>
        <v/>
      </c>
      <c r="E68" s="19">
        <f>E8+E20-E56</f>
        <v/>
      </c>
      <c r="F68" s="19">
        <f>F8+F20-F56</f>
        <v/>
      </c>
      <c r="G68" s="19">
        <f>G8+G20-G56</f>
        <v/>
      </c>
      <c r="H68" s="19">
        <f>H8+H20-H56</f>
        <v/>
      </c>
      <c r="I68" s="19">
        <f>I8+I20-I56</f>
        <v/>
      </c>
      <c r="J68" s="19">
        <f>J8+J20-J56</f>
        <v/>
      </c>
      <c r="K68" s="19">
        <f>K8+K20-K56</f>
        <v/>
      </c>
      <c r="L68" s="19">
        <f>L8+L20-L56</f>
        <v/>
      </c>
      <c r="M68" s="19">
        <f>M8+M20-M56</f>
        <v/>
      </c>
      <c r="N68" s="19">
        <f>N8+N20-N56</f>
        <v/>
      </c>
      <c r="O68" s="19">
        <f>N68</f>
        <v/>
      </c>
    </row>
    <row r="69">
      <c r="B69" s="22" t="inlineStr">
        <is>
          <t>Supply Chain</t>
        </is>
      </c>
      <c r="C69" s="19">
        <f>C9+C21-C57</f>
        <v/>
      </c>
      <c r="D69" s="19">
        <f>D9+D21-D57</f>
        <v/>
      </c>
      <c r="E69" s="19">
        <f>E9+E21-E57</f>
        <v/>
      </c>
      <c r="F69" s="19">
        <f>F9+F21-F57</f>
        <v/>
      </c>
      <c r="G69" s="19">
        <f>G9+G21-G57</f>
        <v/>
      </c>
      <c r="H69" s="19">
        <f>H9+H21-H57</f>
        <v/>
      </c>
      <c r="I69" s="19">
        <f>I9+I21-I57</f>
        <v/>
      </c>
      <c r="J69" s="19">
        <f>J9+J21-J57</f>
        <v/>
      </c>
      <c r="K69" s="19">
        <f>K9+K21-K57</f>
        <v/>
      </c>
      <c r="L69" s="19">
        <f>L9+L21-L57</f>
        <v/>
      </c>
      <c r="M69" s="19">
        <f>M9+M21-M57</f>
        <v/>
      </c>
      <c r="N69" s="19">
        <f>N9+N21-N57</f>
        <v/>
      </c>
      <c r="O69" s="19">
        <f>N69</f>
        <v/>
      </c>
    </row>
    <row r="70">
      <c r="B70" s="22" t="inlineStr">
        <is>
          <t>Sales</t>
        </is>
      </c>
      <c r="C70" s="19">
        <f>C10+C22-C58</f>
        <v/>
      </c>
      <c r="D70" s="19">
        <f>D10+D22-D58</f>
        <v/>
      </c>
      <c r="E70" s="19">
        <f>E10+E22-E58</f>
        <v/>
      </c>
      <c r="F70" s="19">
        <f>F10+F22-F58</f>
        <v/>
      </c>
      <c r="G70" s="19">
        <f>G10+G22-G58</f>
        <v/>
      </c>
      <c r="H70" s="19">
        <f>H10+H22-H58</f>
        <v/>
      </c>
      <c r="I70" s="19">
        <f>I10+I22-I58</f>
        <v/>
      </c>
      <c r="J70" s="19">
        <f>J10+J22-J58</f>
        <v/>
      </c>
      <c r="K70" s="19">
        <f>K10+K22-K58</f>
        <v/>
      </c>
      <c r="L70" s="19">
        <f>L10+L22-L58</f>
        <v/>
      </c>
      <c r="M70" s="19">
        <f>M10+M22-M58</f>
        <v/>
      </c>
      <c r="N70" s="19">
        <f>N10+N22-N58</f>
        <v/>
      </c>
      <c r="O70" s="19">
        <f>N70</f>
        <v/>
      </c>
    </row>
    <row r="71">
      <c r="B71" s="22" t="inlineStr">
        <is>
          <t>Marketing</t>
        </is>
      </c>
      <c r="C71" s="19">
        <f>C11+C23-C59</f>
        <v/>
      </c>
      <c r="D71" s="19">
        <f>D11+D23-D59</f>
        <v/>
      </c>
      <c r="E71" s="19">
        <f>E11+E23-E59</f>
        <v/>
      </c>
      <c r="F71" s="19">
        <f>F11+F23-F59</f>
        <v/>
      </c>
      <c r="G71" s="19">
        <f>G11+G23-G59</f>
        <v/>
      </c>
      <c r="H71" s="19">
        <f>H11+H23-H59</f>
        <v/>
      </c>
      <c r="I71" s="19">
        <f>I11+I23-I59</f>
        <v/>
      </c>
      <c r="J71" s="19">
        <f>J11+J23-J59</f>
        <v/>
      </c>
      <c r="K71" s="19">
        <f>K11+K23-K59</f>
        <v/>
      </c>
      <c r="L71" s="19">
        <f>L11+L23-L59</f>
        <v/>
      </c>
      <c r="M71" s="19">
        <f>M11+M23-M59</f>
        <v/>
      </c>
      <c r="N71" s="19">
        <f>N11+N23-N59</f>
        <v/>
      </c>
      <c r="O71" s="19">
        <f>N71</f>
        <v/>
      </c>
    </row>
    <row r="72">
      <c r="B72" s="22" t="inlineStr">
        <is>
          <t>Finance</t>
        </is>
      </c>
      <c r="C72" s="19">
        <f>C12+C24-C60</f>
        <v/>
      </c>
      <c r="D72" s="19">
        <f>D12+D24-D60</f>
        <v/>
      </c>
      <c r="E72" s="19">
        <f>E12+E24-E60</f>
        <v/>
      </c>
      <c r="F72" s="19">
        <f>F12+F24-F60</f>
        <v/>
      </c>
      <c r="G72" s="19">
        <f>G12+G24-G60</f>
        <v/>
      </c>
      <c r="H72" s="19">
        <f>H12+H24-H60</f>
        <v/>
      </c>
      <c r="I72" s="19">
        <f>I12+I24-I60</f>
        <v/>
      </c>
      <c r="J72" s="19">
        <f>J12+J24-J60</f>
        <v/>
      </c>
      <c r="K72" s="19">
        <f>K12+K24-K60</f>
        <v/>
      </c>
      <c r="L72" s="19">
        <f>L12+L24-L60</f>
        <v/>
      </c>
      <c r="M72" s="19">
        <f>M12+M24-M60</f>
        <v/>
      </c>
      <c r="N72" s="19">
        <f>N12+N24-N60</f>
        <v/>
      </c>
      <c r="O72" s="19">
        <f>N72</f>
        <v/>
      </c>
    </row>
    <row r="73">
      <c r="B73" s="22" t="inlineStr">
        <is>
          <t>HR</t>
        </is>
      </c>
      <c r="C73" s="19">
        <f>C13+C25-C61</f>
        <v/>
      </c>
      <c r="D73" s="19">
        <f>D13+D25-D61</f>
        <v/>
      </c>
      <c r="E73" s="19">
        <f>E13+E25-E61</f>
        <v/>
      </c>
      <c r="F73" s="19">
        <f>F13+F25-F61</f>
        <v/>
      </c>
      <c r="G73" s="19">
        <f>G13+G25-G61</f>
        <v/>
      </c>
      <c r="H73" s="19">
        <f>H13+H25-H61</f>
        <v/>
      </c>
      <c r="I73" s="19">
        <f>I13+I25-I61</f>
        <v/>
      </c>
      <c r="J73" s="19">
        <f>J13+J25-J61</f>
        <v/>
      </c>
      <c r="K73" s="19">
        <f>K13+K25-K61</f>
        <v/>
      </c>
      <c r="L73" s="19">
        <f>L13+L25-L61</f>
        <v/>
      </c>
      <c r="M73" s="19">
        <f>M13+M25-M61</f>
        <v/>
      </c>
      <c r="N73" s="19">
        <f>N13+N25-N61</f>
        <v/>
      </c>
      <c r="O73" s="19">
        <f>N73</f>
        <v/>
      </c>
    </row>
    <row r="74">
      <c r="B74" s="22" t="inlineStr">
        <is>
          <t>Quality / R&amp;D</t>
        </is>
      </c>
      <c r="C74" s="19">
        <f>C14+C26-C62</f>
        <v/>
      </c>
      <c r="D74" s="19">
        <f>D14+D26-D62</f>
        <v/>
      </c>
      <c r="E74" s="19">
        <f>E14+E26-E62</f>
        <v/>
      </c>
      <c r="F74" s="19">
        <f>F14+F26-F62</f>
        <v/>
      </c>
      <c r="G74" s="19">
        <f>G14+G26-G62</f>
        <v/>
      </c>
      <c r="H74" s="19">
        <f>H14+H26-H62</f>
        <v/>
      </c>
      <c r="I74" s="19">
        <f>I14+I26-I62</f>
        <v/>
      </c>
      <c r="J74" s="19">
        <f>J14+J26-J62</f>
        <v/>
      </c>
      <c r="K74" s="19">
        <f>K14+K26-K62</f>
        <v/>
      </c>
      <c r="L74" s="19">
        <f>L14+L26-L62</f>
        <v/>
      </c>
      <c r="M74" s="19">
        <f>M14+M26-M62</f>
        <v/>
      </c>
      <c r="N74" s="19">
        <f>N14+N26-N62</f>
        <v/>
      </c>
      <c r="O74" s="19">
        <f>N74</f>
        <v/>
      </c>
    </row>
    <row r="75">
      <c r="B75" s="22" t="inlineStr">
        <is>
          <t>G&amp;A / IT</t>
        </is>
      </c>
      <c r="C75" s="19">
        <f>C15+C27-C63</f>
        <v/>
      </c>
      <c r="D75" s="19">
        <f>D15+D27-D63</f>
        <v/>
      </c>
      <c r="E75" s="19">
        <f>E15+E27-E63</f>
        <v/>
      </c>
      <c r="F75" s="19">
        <f>F15+F27-F63</f>
        <v/>
      </c>
      <c r="G75" s="19">
        <f>G15+G27-G63</f>
        <v/>
      </c>
      <c r="H75" s="19">
        <f>H15+H27-H63</f>
        <v/>
      </c>
      <c r="I75" s="19">
        <f>I15+I27-I63</f>
        <v/>
      </c>
      <c r="J75" s="19">
        <f>J15+J27-J63</f>
        <v/>
      </c>
      <c r="K75" s="19">
        <f>K15+K27-K63</f>
        <v/>
      </c>
      <c r="L75" s="19">
        <f>L15+L27-L63</f>
        <v/>
      </c>
      <c r="M75" s="19">
        <f>M15+M27-M63</f>
        <v/>
      </c>
      <c r="N75" s="19">
        <f>N15+N27-N63</f>
        <v/>
      </c>
      <c r="O75" s="19">
        <f>N75</f>
        <v/>
      </c>
    </row>
    <row r="76">
      <c r="B76" s="15" t="inlineStr">
        <is>
          <t>Total</t>
        </is>
      </c>
      <c r="C76" s="19">
        <f>SUM(C68:C75)</f>
        <v/>
      </c>
      <c r="D76" s="19">
        <f>SUM(D68:D75)</f>
        <v/>
      </c>
      <c r="E76" s="19">
        <f>SUM(E68:E75)</f>
        <v/>
      </c>
      <c r="F76" s="19">
        <f>SUM(F68:F75)</f>
        <v/>
      </c>
      <c r="G76" s="19">
        <f>SUM(G68:G75)</f>
        <v/>
      </c>
      <c r="H76" s="19">
        <f>SUM(H68:H75)</f>
        <v/>
      </c>
      <c r="I76" s="19">
        <f>SUM(I68:I75)</f>
        <v/>
      </c>
      <c r="J76" s="19">
        <f>SUM(J68:J75)</f>
        <v/>
      </c>
      <c r="K76" s="19">
        <f>SUM(K68:K75)</f>
        <v/>
      </c>
      <c r="L76" s="19">
        <f>SUM(L68:L75)</f>
        <v/>
      </c>
      <c r="M76" s="19">
        <f>SUM(M68:M75)</f>
        <v/>
      </c>
      <c r="N76" s="19">
        <f>SUM(N68:N75)</f>
        <v/>
      </c>
      <c r="O76" s="19">
        <f>SUM(O68:O75)</f>
        <v/>
      </c>
    </row>
    <row r="78">
      <c r="B78" s="12" t="inlineStr">
        <is>
          <t>Ending FTE variance vs plan  (latest − plan)</t>
        </is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>
      <c r="C79" s="14" t="inlineStr">
        <is>
          <t>Jan-26</t>
        </is>
      </c>
      <c r="D79" s="14" t="inlineStr">
        <is>
          <t>Feb-26</t>
        </is>
      </c>
      <c r="E79" s="14" t="inlineStr">
        <is>
          <t>Mar-26</t>
        </is>
      </c>
      <c r="F79" s="14" t="inlineStr">
        <is>
          <t>Apr-26</t>
        </is>
      </c>
      <c r="G79" s="14" t="inlineStr">
        <is>
          <t>May-26</t>
        </is>
      </c>
      <c r="H79" s="14" t="inlineStr">
        <is>
          <t>Jun-26</t>
        </is>
      </c>
      <c r="I79" s="14" t="inlineStr">
        <is>
          <t>Jul-26</t>
        </is>
      </c>
      <c r="J79" s="14" t="inlineStr">
        <is>
          <t>Aug-26</t>
        </is>
      </c>
      <c r="K79" s="14" t="inlineStr">
        <is>
          <t>Sep-26</t>
        </is>
      </c>
      <c r="L79" s="14" t="inlineStr">
        <is>
          <t>Oct-26</t>
        </is>
      </c>
      <c r="M79" s="14" t="inlineStr">
        <is>
          <t>Nov-26</t>
        </is>
      </c>
      <c r="N79" s="14" t="inlineStr">
        <is>
          <t>Dec-26</t>
        </is>
      </c>
      <c r="O79" s="14" t="inlineStr">
        <is>
          <t>FY26</t>
        </is>
      </c>
    </row>
    <row r="80">
      <c r="B80" t="inlineStr">
        <is>
          <t>Total FTE variance</t>
        </is>
      </c>
      <c r="C80" s="19">
        <f>C76-'02_Headcount_Plan'!C76</f>
        <v/>
      </c>
      <c r="D80" s="19">
        <f>D76-'02_Headcount_Plan'!D76</f>
        <v/>
      </c>
      <c r="E80" s="19">
        <f>E76-'02_Headcount_Plan'!E76</f>
        <v/>
      </c>
      <c r="F80" s="19">
        <f>F76-'02_Headcount_Plan'!F76</f>
        <v/>
      </c>
      <c r="G80" s="19">
        <f>G76-'02_Headcount_Plan'!G76</f>
        <v/>
      </c>
      <c r="H80" s="19">
        <f>H76-'02_Headcount_Plan'!H76</f>
        <v/>
      </c>
      <c r="I80" s="19">
        <f>I76-'02_Headcount_Plan'!I76</f>
        <v/>
      </c>
      <c r="J80" s="19">
        <f>J76-'02_Headcount_Plan'!J76</f>
        <v/>
      </c>
      <c r="K80" s="19">
        <f>K76-'02_Headcount_Plan'!K76</f>
        <v/>
      </c>
      <c r="L80" s="19">
        <f>L76-'02_Headcount_Plan'!L76</f>
        <v/>
      </c>
      <c r="M80" s="19">
        <f>M76-'02_Headcount_Plan'!M76</f>
        <v/>
      </c>
      <c r="N80" s="19">
        <f>N76-'02_Headcount_Plan'!N76</f>
        <v/>
      </c>
      <c r="O80" s="19">
        <f>O76-'02_Headcount_Plan'!O76</f>
        <v/>
      </c>
    </row>
    <row r="82">
      <c r="B82" s="12" t="inlineStr">
        <is>
          <t>Year-end FTE by department — plan vs latest</t>
        </is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</row>
    <row r="83">
      <c r="B83" s="14" t="inlineStr">
        <is>
          <t>Department</t>
        </is>
      </c>
      <c r="C83" s="14" t="inlineStr">
        <is>
          <t>Plan YE</t>
        </is>
      </c>
      <c r="D83" s="14" t="inlineStr">
        <is>
          <t>Latest YE</t>
        </is>
      </c>
      <c r="E83" s="14" t="inlineStr">
        <is>
          <t>Var FTE</t>
        </is>
      </c>
      <c r="F83" s="14" t="inlineStr">
        <is>
          <t>Plan FY $</t>
        </is>
      </c>
      <c r="G83" s="14" t="inlineStr">
        <is>
          <t>Latest FY $</t>
        </is>
      </c>
      <c r="H83" s="14" t="inlineStr">
        <is>
          <t>Var $</t>
        </is>
      </c>
    </row>
    <row r="84">
      <c r="B84" s="22" t="inlineStr">
        <is>
          <t>Operations</t>
        </is>
      </c>
      <c r="C84" s="23">
        <f>'02_Headcount_Plan'!N68</f>
        <v/>
      </c>
      <c r="D84" s="19">
        <f>N68</f>
        <v/>
      </c>
      <c r="E84" s="23">
        <f>D84-C84</f>
        <v/>
      </c>
      <c r="F84" s="20">
        <f>'03_Cost_Bridge'!O11</f>
        <v/>
      </c>
      <c r="G84" s="20">
        <f>'03_Cost_Bridge'!O23</f>
        <v/>
      </c>
      <c r="H84" s="20">
        <f>G84-F84</f>
        <v/>
      </c>
    </row>
    <row r="85">
      <c r="B85" s="22" t="inlineStr">
        <is>
          <t>Supply Chain</t>
        </is>
      </c>
      <c r="C85" s="23">
        <f>'02_Headcount_Plan'!N69</f>
        <v/>
      </c>
      <c r="D85" s="19">
        <f>N69</f>
        <v/>
      </c>
      <c r="E85" s="23">
        <f>D85-C85</f>
        <v/>
      </c>
      <c r="F85" s="20">
        <f>'03_Cost_Bridge'!O12</f>
        <v/>
      </c>
      <c r="G85" s="20">
        <f>'03_Cost_Bridge'!O24</f>
        <v/>
      </c>
      <c r="H85" s="20">
        <f>G85-F85</f>
        <v/>
      </c>
    </row>
    <row r="86">
      <c r="B86" s="22" t="inlineStr">
        <is>
          <t>Sales</t>
        </is>
      </c>
      <c r="C86" s="23">
        <f>'02_Headcount_Plan'!N70</f>
        <v/>
      </c>
      <c r="D86" s="19">
        <f>N70</f>
        <v/>
      </c>
      <c r="E86" s="23">
        <f>D86-C86</f>
        <v/>
      </c>
      <c r="F86" s="20">
        <f>'03_Cost_Bridge'!O13</f>
        <v/>
      </c>
      <c r="G86" s="20">
        <f>'03_Cost_Bridge'!O25</f>
        <v/>
      </c>
      <c r="H86" s="20">
        <f>G86-F86</f>
        <v/>
      </c>
    </row>
    <row r="87">
      <c r="B87" s="22" t="inlineStr">
        <is>
          <t>Marketing</t>
        </is>
      </c>
      <c r="C87" s="23">
        <f>'02_Headcount_Plan'!N71</f>
        <v/>
      </c>
      <c r="D87" s="19">
        <f>N71</f>
        <v/>
      </c>
      <c r="E87" s="23">
        <f>D87-C87</f>
        <v/>
      </c>
      <c r="F87" s="20">
        <f>'03_Cost_Bridge'!O14</f>
        <v/>
      </c>
      <c r="G87" s="20">
        <f>'03_Cost_Bridge'!O26</f>
        <v/>
      </c>
      <c r="H87" s="20">
        <f>G87-F87</f>
        <v/>
      </c>
    </row>
    <row r="88">
      <c r="B88" s="22" t="inlineStr">
        <is>
          <t>Finance</t>
        </is>
      </c>
      <c r="C88" s="23">
        <f>'02_Headcount_Plan'!N72</f>
        <v/>
      </c>
      <c r="D88" s="19">
        <f>N72</f>
        <v/>
      </c>
      <c r="E88" s="23">
        <f>D88-C88</f>
        <v/>
      </c>
      <c r="F88" s="20">
        <f>'03_Cost_Bridge'!O15</f>
        <v/>
      </c>
      <c r="G88" s="20">
        <f>'03_Cost_Bridge'!O27</f>
        <v/>
      </c>
      <c r="H88" s="20">
        <f>G88-F88</f>
        <v/>
      </c>
    </row>
    <row r="89">
      <c r="B89" s="22" t="inlineStr">
        <is>
          <t>HR</t>
        </is>
      </c>
      <c r="C89" s="23">
        <f>'02_Headcount_Plan'!N73</f>
        <v/>
      </c>
      <c r="D89" s="19">
        <f>N73</f>
        <v/>
      </c>
      <c r="E89" s="23">
        <f>D89-C89</f>
        <v/>
      </c>
      <c r="F89" s="20">
        <f>'03_Cost_Bridge'!O16</f>
        <v/>
      </c>
      <c r="G89" s="20">
        <f>'03_Cost_Bridge'!O28</f>
        <v/>
      </c>
      <c r="H89" s="20">
        <f>G89-F89</f>
        <v/>
      </c>
    </row>
    <row r="90">
      <c r="B90" s="22" t="inlineStr">
        <is>
          <t>Quality / R&amp;D</t>
        </is>
      </c>
      <c r="C90" s="23">
        <f>'02_Headcount_Plan'!N74</f>
        <v/>
      </c>
      <c r="D90" s="19">
        <f>N74</f>
        <v/>
      </c>
      <c r="E90" s="23">
        <f>D90-C90</f>
        <v/>
      </c>
      <c r="F90" s="20">
        <f>'03_Cost_Bridge'!O17</f>
        <v/>
      </c>
      <c r="G90" s="20">
        <f>'03_Cost_Bridge'!O29</f>
        <v/>
      </c>
      <c r="H90" s="20">
        <f>G90-F90</f>
        <v/>
      </c>
    </row>
    <row r="91">
      <c r="B91" s="22" t="inlineStr">
        <is>
          <t>G&amp;A / IT</t>
        </is>
      </c>
      <c r="C91" s="23">
        <f>'02_Headcount_Plan'!N75</f>
        <v/>
      </c>
      <c r="D91" s="19">
        <f>N75</f>
        <v/>
      </c>
      <c r="E91" s="23">
        <f>D91-C91</f>
        <v/>
      </c>
      <c r="F91" s="20">
        <f>'03_Cost_Bridge'!O18</f>
        <v/>
      </c>
      <c r="G91" s="20">
        <f>'03_Cost_Bridge'!O30</f>
        <v/>
      </c>
      <c r="H91" s="20">
        <f>G91-F91</f>
        <v/>
      </c>
    </row>
    <row r="92">
      <c r="B92" s="15" t="inlineStr">
        <is>
          <t>Total</t>
        </is>
      </c>
      <c r="C92" s="19">
        <f>'02_Headcount_Plan'!N76</f>
        <v/>
      </c>
      <c r="D92" s="19">
        <f>N76</f>
        <v/>
      </c>
      <c r="E92" s="19">
        <f>D92-C92</f>
        <v/>
      </c>
      <c r="F92" s="20">
        <f>'03_Cost_Bridge'!O19</f>
        <v/>
      </c>
      <c r="G92" s="20">
        <f>'03_Cost_Bridge'!O31</f>
        <v/>
      </c>
      <c r="H92" s="25">
        <f>G92-F92</f>
        <v/>
      </c>
    </row>
    <row r="94">
      <c r="B94" s="10" t="inlineStr">
        <is>
          <t>Positive FTE variance = running above the original plan. Positive $ variance = cost above plan.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O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" customWidth="1" min="4" max="4"/>
    <col width="24" customWidth="1" min="5" max="5"/>
    <col width="16" customWidth="1" min="6" max="6"/>
    <col width="3" customWidth="1" min="7" max="7"/>
    <col width="22" customWidth="1" min="8" max="8"/>
    <col width="16" customWidth="1" min="9" max="9"/>
    <col width="3" customWidth="1" min="10" max="10"/>
    <col width="20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2">
      <c r="B2" s="1" t="inlineStr">
        <is>
          <t>Headcount dashboard</t>
        </is>
      </c>
    </row>
    <row r="3">
      <c r="B3" t="inlineStr">
        <is>
          <t>As-of month</t>
        </is>
      </c>
      <c r="C3" s="26">
        <f>'01_Assumptions'!D5</f>
        <v/>
      </c>
      <c r="E3" s="10" t="inlineStr">
        <is>
          <t>Yellow + blue = inputs (on other tabs). This page is formulas.</t>
        </is>
      </c>
    </row>
    <row r="5">
      <c r="B5" s="28" t="inlineStr">
        <is>
          <t>Ending FTE (latest)</t>
        </is>
      </c>
      <c r="C5" s="29" t="n"/>
      <c r="E5" s="28" t="inlineStr">
        <is>
          <t>FY loaded cost ($000s)</t>
        </is>
      </c>
      <c r="F5" s="29" t="n"/>
      <c r="H5" s="28" t="inlineStr">
        <is>
          <t>YTD net / pipeline</t>
        </is>
      </c>
      <c r="I5" s="29" t="n"/>
      <c r="K5" s="28" t="inlineStr">
        <is>
          <t>Attrition (annualized)</t>
        </is>
      </c>
      <c r="L5" s="29" t="n"/>
    </row>
    <row r="6">
      <c r="B6" s="30" t="inlineStr">
        <is>
          <t>Actual / forecast</t>
        </is>
      </c>
      <c r="C6" s="19">
        <f>INDEX('04_Reforecast'!C76:N76,1,'01_Assumptions'!$C$5)</f>
        <v/>
      </c>
      <c r="E6" s="30" t="inlineStr">
        <is>
          <t>Forecast FY $</t>
        </is>
      </c>
      <c r="F6" s="25">
        <f>'03_Cost_Bridge'!O31</f>
        <v/>
      </c>
      <c r="H6" s="30" t="inlineStr">
        <is>
          <t>YTD hires (latest)</t>
        </is>
      </c>
      <c r="I6" s="19">
        <f>SUMIF('04_Reforecast'!C5:N5,"Actual",'04_Reforecast'!C28:N28)</f>
        <v/>
      </c>
      <c r="K6" s="30" t="inlineStr">
        <is>
          <t>As-of month</t>
        </is>
      </c>
      <c r="L6" s="31">
        <f>IF(INDEX('04_Reforecast'!C16:N16,1,'01_Assumptions'!$C$5)=0,0,INDEX('04_Reforecast'!C64:N64,1,'01_Assumptions'!$C$5)/INDEX('04_Reforecast'!C16:N16,1,'01_Assumptions'!$C$5)*12)</f>
        <v/>
      </c>
    </row>
    <row r="7">
      <c r="B7" s="30" t="inlineStr">
        <is>
          <t>Original plan</t>
        </is>
      </c>
      <c r="C7" s="23">
        <f>INDEX('02_Headcount_Plan'!C76:N76,1,'01_Assumptions'!$C$5)</f>
        <v/>
      </c>
      <c r="E7" s="30" t="inlineStr">
        <is>
          <t>Plan FY $</t>
        </is>
      </c>
      <c r="F7" s="20">
        <f>'03_Cost_Bridge'!O19</f>
        <v/>
      </c>
      <c r="H7" s="30" t="inlineStr">
        <is>
          <t>YTD exits (latest)</t>
        </is>
      </c>
      <c r="I7" s="23">
        <f>SUMIF('04_Reforecast'!C5:N5,"Actual",'04_Reforecast'!C64:N64)</f>
        <v/>
      </c>
      <c r="K7" s="30" t="inlineStr">
        <is>
          <t>Company target</t>
        </is>
      </c>
      <c r="L7" s="18">
        <f>'01_Assumptions'!E20</f>
        <v/>
      </c>
    </row>
    <row r="8">
      <c r="B8" s="30" t="inlineStr">
        <is>
          <t>Var vs plan</t>
        </is>
      </c>
      <c r="C8" s="23">
        <f>C6-C7</f>
        <v/>
      </c>
      <c r="E8" s="30" t="inlineStr">
        <is>
          <t>Var $</t>
        </is>
      </c>
      <c r="F8" s="20">
        <f>F6-F7</f>
        <v/>
      </c>
      <c r="H8" s="30" t="inlineStr">
        <is>
          <t>Open reqs</t>
        </is>
      </c>
      <c r="I8" s="32">
        <f>'01_Assumptions'!G20</f>
        <v/>
      </c>
      <c r="K8" s="30" t="inlineStr">
        <is>
          <t>Hire lead time (mo)</t>
        </is>
      </c>
      <c r="L8" s="32">
        <f>'01_Assumptions'!C8</f>
        <v/>
      </c>
    </row>
    <row r="10">
      <c r="B10" s="12" t="inlineStr">
        <is>
          <t>Monthly totals (feeds charts)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B11" s="14" t="inlineStr">
        <is>
          <t>Metric</t>
        </is>
      </c>
      <c r="C11" s="14" t="inlineStr">
        <is>
          <t>Jan-26</t>
        </is>
      </c>
      <c r="D11" s="14" t="inlineStr">
        <is>
          <t>Feb-26</t>
        </is>
      </c>
      <c r="E11" s="14" t="inlineStr">
        <is>
          <t>Mar-26</t>
        </is>
      </c>
      <c r="F11" s="14" t="inlineStr">
        <is>
          <t>Apr-26</t>
        </is>
      </c>
      <c r="G11" s="14" t="inlineStr">
        <is>
          <t>May-26</t>
        </is>
      </c>
      <c r="H11" s="14" t="inlineStr">
        <is>
          <t>Jun-26</t>
        </is>
      </c>
      <c r="I11" s="14" t="inlineStr">
        <is>
          <t>Jul-26</t>
        </is>
      </c>
      <c r="J11" s="14" t="inlineStr">
        <is>
          <t>Aug-26</t>
        </is>
      </c>
      <c r="K11" s="14" t="inlineStr">
        <is>
          <t>Sep-26</t>
        </is>
      </c>
      <c r="L11" s="14" t="inlineStr">
        <is>
          <t>Oct-26</t>
        </is>
      </c>
      <c r="M11" s="14" t="inlineStr">
        <is>
          <t>Nov-26</t>
        </is>
      </c>
      <c r="N11" s="14" t="inlineStr">
        <is>
          <t>Dec-26</t>
        </is>
      </c>
    </row>
    <row r="12">
      <c r="B12" t="inlineStr">
        <is>
          <t>Plan ending FTE</t>
        </is>
      </c>
      <c r="C12" s="23">
        <f>'02_Headcount_Plan'!C76</f>
        <v/>
      </c>
      <c r="D12" s="23">
        <f>'02_Headcount_Plan'!D76</f>
        <v/>
      </c>
      <c r="E12" s="23">
        <f>'02_Headcount_Plan'!E76</f>
        <v/>
      </c>
      <c r="F12" s="23">
        <f>'02_Headcount_Plan'!F76</f>
        <v/>
      </c>
      <c r="G12" s="23">
        <f>'02_Headcount_Plan'!G76</f>
        <v/>
      </c>
      <c r="H12" s="23">
        <f>'02_Headcount_Plan'!H76</f>
        <v/>
      </c>
      <c r="I12" s="23">
        <f>'02_Headcount_Plan'!I76</f>
        <v/>
      </c>
      <c r="J12" s="23">
        <f>'02_Headcount_Plan'!J76</f>
        <v/>
      </c>
      <c r="K12" s="23">
        <f>'02_Headcount_Plan'!K76</f>
        <v/>
      </c>
      <c r="L12" s="23">
        <f>'02_Headcount_Plan'!L76</f>
        <v/>
      </c>
      <c r="M12" s="23">
        <f>'02_Headcount_Plan'!M76</f>
        <v/>
      </c>
      <c r="N12" s="23">
        <f>'02_Headcount_Plan'!N76</f>
        <v/>
      </c>
    </row>
    <row r="13">
      <c r="B13" t="inlineStr">
        <is>
          <t>Latest ending FTE</t>
        </is>
      </c>
      <c r="C13" s="23">
        <f>'04_Reforecast'!C76</f>
        <v/>
      </c>
      <c r="D13" s="23">
        <f>'04_Reforecast'!D76</f>
        <v/>
      </c>
      <c r="E13" s="23">
        <f>'04_Reforecast'!E76</f>
        <v/>
      </c>
      <c r="F13" s="23">
        <f>'04_Reforecast'!F76</f>
        <v/>
      </c>
      <c r="G13" s="23">
        <f>'04_Reforecast'!G76</f>
        <v/>
      </c>
      <c r="H13" s="23">
        <f>'04_Reforecast'!H76</f>
        <v/>
      </c>
      <c r="I13" s="23">
        <f>'04_Reforecast'!I76</f>
        <v/>
      </c>
      <c r="J13" s="23">
        <f>'04_Reforecast'!J76</f>
        <v/>
      </c>
      <c r="K13" s="23">
        <f>'04_Reforecast'!K76</f>
        <v/>
      </c>
      <c r="L13" s="23">
        <f>'04_Reforecast'!L76</f>
        <v/>
      </c>
      <c r="M13" s="23">
        <f>'04_Reforecast'!M76</f>
        <v/>
      </c>
      <c r="N13" s="23">
        <f>'04_Reforecast'!N76</f>
        <v/>
      </c>
    </row>
    <row r="14">
      <c r="B14" t="inlineStr">
        <is>
          <t>Plan monthly $</t>
        </is>
      </c>
      <c r="C14" s="20">
        <f>'03_Cost_Bridge'!C19</f>
        <v/>
      </c>
      <c r="D14" s="20">
        <f>'03_Cost_Bridge'!D19</f>
        <v/>
      </c>
      <c r="E14" s="20">
        <f>'03_Cost_Bridge'!E19</f>
        <v/>
      </c>
      <c r="F14" s="20">
        <f>'03_Cost_Bridge'!F19</f>
        <v/>
      </c>
      <c r="G14" s="20">
        <f>'03_Cost_Bridge'!G19</f>
        <v/>
      </c>
      <c r="H14" s="20">
        <f>'03_Cost_Bridge'!H19</f>
        <v/>
      </c>
      <c r="I14" s="20">
        <f>'03_Cost_Bridge'!I19</f>
        <v/>
      </c>
      <c r="J14" s="20">
        <f>'03_Cost_Bridge'!J19</f>
        <v/>
      </c>
      <c r="K14" s="20">
        <f>'03_Cost_Bridge'!K19</f>
        <v/>
      </c>
      <c r="L14" s="20">
        <f>'03_Cost_Bridge'!L19</f>
        <v/>
      </c>
      <c r="M14" s="20">
        <f>'03_Cost_Bridge'!M19</f>
        <v/>
      </c>
      <c r="N14" s="20">
        <f>'03_Cost_Bridge'!N19</f>
        <v/>
      </c>
    </row>
    <row r="15">
      <c r="B15" t="inlineStr">
        <is>
          <t>Latest monthly $</t>
        </is>
      </c>
      <c r="C15" s="20">
        <f>'03_Cost_Bridge'!C31</f>
        <v/>
      </c>
      <c r="D15" s="20">
        <f>'03_Cost_Bridge'!D31</f>
        <v/>
      </c>
      <c r="E15" s="20">
        <f>'03_Cost_Bridge'!E31</f>
        <v/>
      </c>
      <c r="F15" s="20">
        <f>'03_Cost_Bridge'!F31</f>
        <v/>
      </c>
      <c r="G15" s="20">
        <f>'03_Cost_Bridge'!G31</f>
        <v/>
      </c>
      <c r="H15" s="20">
        <f>'03_Cost_Bridge'!H31</f>
        <v/>
      </c>
      <c r="I15" s="20">
        <f>'03_Cost_Bridge'!I31</f>
        <v/>
      </c>
      <c r="J15" s="20">
        <f>'03_Cost_Bridge'!J31</f>
        <v/>
      </c>
      <c r="K15" s="20">
        <f>'03_Cost_Bridge'!K31</f>
        <v/>
      </c>
      <c r="L15" s="20">
        <f>'03_Cost_Bridge'!L31</f>
        <v/>
      </c>
      <c r="M15" s="20">
        <f>'03_Cost_Bridge'!M31</f>
        <v/>
      </c>
      <c r="N15" s="20">
        <f>'03_Cost_Bridge'!N31</f>
        <v/>
      </c>
    </row>
    <row r="16">
      <c r="B16" t="inlineStr">
        <is>
          <t>Status</t>
        </is>
      </c>
      <c r="C16" s="9">
        <f>'04_Reforecast'!C5</f>
        <v/>
      </c>
      <c r="D16" s="9">
        <f>'04_Reforecast'!D5</f>
        <v/>
      </c>
      <c r="E16" s="9">
        <f>'04_Reforecast'!E5</f>
        <v/>
      </c>
      <c r="F16" s="9">
        <f>'04_Reforecast'!F5</f>
        <v/>
      </c>
      <c r="G16" s="9">
        <f>'04_Reforecast'!G5</f>
        <v/>
      </c>
      <c r="H16" s="9">
        <f>'04_Reforecast'!H5</f>
        <v/>
      </c>
      <c r="I16" s="9">
        <f>'04_Reforecast'!I5</f>
        <v/>
      </c>
      <c r="J16" s="9">
        <f>'04_Reforecast'!J5</f>
        <v/>
      </c>
      <c r="K16" s="9">
        <f>'04_Reforecast'!K5</f>
        <v/>
      </c>
      <c r="L16" s="9">
        <f>'04_Reforecast'!L5</f>
        <v/>
      </c>
      <c r="M16" s="9">
        <f>'04_Reforecast'!M5</f>
        <v/>
      </c>
      <c r="N16" s="9">
        <f>'04_Reforecast'!N5</f>
        <v/>
      </c>
    </row>
    <row r="34">
      <c r="B34" s="2" t="inlineStr">
        <is>
          <t>Year-end FTE by department</t>
        </is>
      </c>
    </row>
    <row r="35">
      <c r="B35" s="14" t="inlineStr">
        <is>
          <t>Department</t>
        </is>
      </c>
      <c r="C35" s="14" t="inlineStr">
        <is>
          <t>Plan</t>
        </is>
      </c>
      <c r="D35" s="14" t="inlineStr">
        <is>
          <t>Latest</t>
        </is>
      </c>
    </row>
    <row r="36">
      <c r="B36" s="22" t="inlineStr">
        <is>
          <t>Operations</t>
        </is>
      </c>
      <c r="C36" s="23">
        <f>'04_Reforecast'!C84</f>
        <v/>
      </c>
      <c r="D36" s="23">
        <f>'04_Reforecast'!D84</f>
        <v/>
      </c>
    </row>
    <row r="37">
      <c r="B37" s="22" t="inlineStr">
        <is>
          <t>Supply Chain</t>
        </is>
      </c>
      <c r="C37" s="23">
        <f>'04_Reforecast'!C85</f>
        <v/>
      </c>
      <c r="D37" s="23">
        <f>'04_Reforecast'!D85</f>
        <v/>
      </c>
    </row>
    <row r="38">
      <c r="B38" s="22" t="inlineStr">
        <is>
          <t>Sales</t>
        </is>
      </c>
      <c r="C38" s="23">
        <f>'04_Reforecast'!C86</f>
        <v/>
      </c>
      <c r="D38" s="23">
        <f>'04_Reforecast'!D86</f>
        <v/>
      </c>
    </row>
    <row r="39">
      <c r="B39" s="22" t="inlineStr">
        <is>
          <t>Marketing</t>
        </is>
      </c>
      <c r="C39" s="23">
        <f>'04_Reforecast'!C87</f>
        <v/>
      </c>
      <c r="D39" s="23">
        <f>'04_Reforecast'!D87</f>
        <v/>
      </c>
    </row>
    <row r="40">
      <c r="B40" s="22" t="inlineStr">
        <is>
          <t>Finance</t>
        </is>
      </c>
      <c r="C40" s="23">
        <f>'04_Reforecast'!C88</f>
        <v/>
      </c>
      <c r="D40" s="23">
        <f>'04_Reforecast'!D88</f>
        <v/>
      </c>
    </row>
    <row r="41">
      <c r="B41" s="22" t="inlineStr">
        <is>
          <t>HR</t>
        </is>
      </c>
      <c r="C41" s="23">
        <f>'04_Reforecast'!C89</f>
        <v/>
      </c>
      <c r="D41" s="23">
        <f>'04_Reforecast'!D89</f>
        <v/>
      </c>
    </row>
    <row r="42">
      <c r="B42" s="22" t="inlineStr">
        <is>
          <t>Quality / R&amp;D</t>
        </is>
      </c>
      <c r="C42" s="23">
        <f>'04_Reforecast'!C90</f>
        <v/>
      </c>
      <c r="D42" s="23">
        <f>'04_Reforecast'!D90</f>
        <v/>
      </c>
    </row>
    <row r="43">
      <c r="B43" s="22" t="inlineStr">
        <is>
          <t>G&amp;A / IT</t>
        </is>
      </c>
      <c r="C43" s="23">
        <f>'04_Reforecast'!C91</f>
        <v/>
      </c>
      <c r="D43" s="23">
        <f>'04_Reforecast'!D91</f>
        <v/>
      </c>
    </row>
    <row r="46">
      <c r="B46" s="10" t="inlineStr">
        <is>
          <t>Toggle the as-of month on Assumptions to walk the latest view from YTD actuals into the remaining-year forecast.</t>
        </is>
      </c>
    </row>
  </sheetData>
  <pageMargins left="0.75" right="0.75" top="1" bottom="1" header="0.5" footer="0.5"/>
  <pageSetup orientation="landscape" paperSize="3" fitToHeight="1" fitToWidth="1"/>
  <headerFooter>
    <oddHeader/>
    <oddFooter>&amp;LNorthline Consumer Products  |  fictional sample&amp;RPage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2:D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78" customWidth="1" min="4" max="4"/>
  </cols>
  <sheetData>
    <row r="2">
      <c r="B2" s="1" t="inlineStr">
        <is>
          <t>Data dictionary</t>
        </is>
      </c>
    </row>
    <row r="3">
      <c r="B3" s="3" t="inlineStr">
        <is>
          <t>Field definitions so another analyst can inherit the file.</t>
        </is>
      </c>
    </row>
    <row r="5">
      <c r="B5" s="33" t="inlineStr">
        <is>
          <t>Field</t>
        </is>
      </c>
      <c r="C5" s="33" t="inlineStr">
        <is>
          <t>Tab</t>
        </is>
      </c>
      <c r="D5" s="33" t="inlineStr">
        <is>
          <t>Definition</t>
        </is>
      </c>
    </row>
    <row r="6" ht="36" customHeight="1">
      <c r="B6" s="15" t="inlineStr">
        <is>
          <t>As-of / toggle month</t>
        </is>
      </c>
      <c r="C6" s="22" t="inlineStr">
        <is>
          <t>01_Assumptions</t>
        </is>
      </c>
      <c r="D6" s="34" t="inlineStr">
        <is>
          <t>Month through which the reforecast holds YTD actuals. Later months are forecast. Dashboard INDEX uses this.</t>
        </is>
      </c>
    </row>
    <row r="7" ht="36" customHeight="1">
      <c r="B7" s="15" t="inlineStr">
        <is>
          <t>Merit / raise %</t>
        </is>
      </c>
      <c r="C7" s="22" t="inlineStr">
        <is>
          <t>01_Assumptions</t>
        </is>
      </c>
      <c r="D7" s="34" t="inlineStr">
        <is>
          <t>Company-wide loaded-cost step-up. Applied from the raise-effective month onward.</t>
        </is>
      </c>
    </row>
    <row r="8" ht="36" customHeight="1">
      <c r="B8" s="15" t="inlineStr">
        <is>
          <t>Raise effective month</t>
        </is>
      </c>
      <c r="C8" s="22" t="inlineStr">
        <is>
          <t>01_Assumptions</t>
        </is>
      </c>
      <c r="D8" s="34" t="inlineStr">
        <is>
          <t>First month the merit is in the run-rate (April in the sample).</t>
        </is>
      </c>
    </row>
    <row r="9" ht="36" customHeight="1">
      <c r="B9" s="15" t="inlineStr">
        <is>
          <t>Hire lead time</t>
        </is>
      </c>
      <c r="C9" s="22" t="inlineStr">
        <is>
          <t>01_Assumptions</t>
        </is>
      </c>
      <c r="D9" s="34" t="inlineStr">
        <is>
          <t>Months from approved req to start. Hires in the plan are booked in the start month.</t>
        </is>
      </c>
    </row>
    <row r="10" ht="36" customHeight="1">
      <c r="B10" s="15" t="inlineStr">
        <is>
          <t>Opening FTE</t>
        </is>
      </c>
      <c r="C10" s="22" t="inlineStr">
        <is>
          <t>01_Assumptions</t>
        </is>
      </c>
      <c r="D10" s="34" t="inlineStr">
        <is>
          <t>1 Jan 2026 heads by department. Seeds January opening of both plan and reforecast.</t>
        </is>
      </c>
    </row>
    <row r="11" ht="36" customHeight="1">
      <c r="B11" s="15" t="inlineStr">
        <is>
          <t>Annual loaded cost</t>
        </is>
      </c>
      <c r="C11" s="22" t="inlineStr">
        <is>
          <t>01_Assumptions</t>
        </is>
      </c>
      <c r="D11" s="34" t="inlineStr">
        <is>
          <t>Fully loaded $000s per FTE per year (salary, benefits, taxes, typical bonus).</t>
        </is>
      </c>
    </row>
    <row r="12" ht="36" customHeight="1">
      <c r="B12" s="15" t="inlineStr">
        <is>
          <t>Annual attrition %</t>
        </is>
      </c>
      <c r="C12" s="22" t="inlineStr">
        <is>
          <t>01_Assumptions</t>
        </is>
      </c>
      <c r="D12" s="34" t="inlineStr">
        <is>
          <t>Expected voluntary/involuntary turnover. Monthly rate = annual ÷ 12.</t>
        </is>
      </c>
    </row>
    <row r="13" ht="36" customHeight="1">
      <c r="B13" s="15" t="inlineStr">
        <is>
          <t>Open reqs</t>
        </is>
      </c>
      <c r="C13" s="22" t="inlineStr">
        <is>
          <t>01_Assumptions</t>
        </is>
      </c>
      <c r="D13" s="34" t="inlineStr">
        <is>
          <t>Snapshot of approved unfilled requisitions (pipeline), not yet started.</t>
        </is>
      </c>
    </row>
    <row r="14" ht="36" customHeight="1">
      <c r="B14" s="15" t="inlineStr">
        <is>
          <t>Hires (starts)</t>
        </is>
      </c>
      <c r="C14" s="22" t="inlineStr">
        <is>
          <t>02_Headcount_Plan / 04_Reforecast</t>
        </is>
      </c>
      <c r="D14" s="34" t="inlineStr">
        <is>
          <t>Input. Heads that begin that month.</t>
        </is>
      </c>
    </row>
    <row r="15" ht="36" customHeight="1">
      <c r="B15" s="15" t="inlineStr">
        <is>
          <t>Modeled attrition exits</t>
        </is>
      </c>
      <c r="C15" s="22" t="inlineStr">
        <is>
          <t>02_Headcount_Plan / 04_Reforecast</t>
        </is>
      </c>
      <c r="D15" s="34" t="inlineStr">
        <is>
          <t>ROUND(opening FTE × monthly attrition, 1). Driven by the assumption rate.</t>
        </is>
      </c>
    </row>
    <row r="16" ht="36" customHeight="1">
      <c r="B16" s="15" t="inlineStr">
        <is>
          <t>Other exits</t>
        </is>
      </c>
      <c r="C16" s="22" t="inlineStr">
        <is>
          <t>02_Headcount_Plan / 04_Reforecast</t>
        </is>
      </c>
      <c r="D16" s="34" t="inlineStr">
        <is>
          <t>Input. Restructuring, transfers-out, or one-off exits on top of attrition.</t>
        </is>
      </c>
    </row>
    <row r="17" ht="36" customHeight="1">
      <c r="B17" s="15" t="inlineStr">
        <is>
          <t>Ending FTE</t>
        </is>
      </c>
      <c r="C17" s="22" t="inlineStr">
        <is>
          <t>02_Headcount_Plan / 04_Reforecast</t>
        </is>
      </c>
      <c r="D17" s="34" t="inlineStr">
        <is>
          <t>Opening + hires − total exits.</t>
        </is>
      </c>
    </row>
    <row r="18" ht="36" customHeight="1">
      <c r="B18" s="15" t="inlineStr">
        <is>
          <t>Raise factor</t>
        </is>
      </c>
      <c r="C18" s="22" t="inlineStr">
        <is>
          <t>03_Cost_Bridge</t>
        </is>
      </c>
      <c r="D18" s="34" t="inlineStr">
        <is>
          <t>1.0 until the merit month, then 1 + raise %.</t>
        </is>
      </c>
    </row>
    <row r="19" ht="36" customHeight="1">
      <c r="B19" s="15" t="inlineStr">
        <is>
          <t>Monthly loaded cost</t>
        </is>
      </c>
      <c r="C19" s="22" t="inlineStr">
        <is>
          <t>03_Cost_Bridge</t>
        </is>
      </c>
      <c r="D19" s="34" t="inlineStr">
        <is>
          <t>Average of opening and ending FTE × (annual loaded / 12) × raise factor.</t>
        </is>
      </c>
    </row>
    <row r="20" ht="36" customHeight="1">
      <c r="B20" s="15" t="inlineStr">
        <is>
          <t>Plan vs forecast variance</t>
        </is>
      </c>
      <c r="C20" s="22" t="inlineStr">
        <is>
          <t>03_Cost_Bridge</t>
        </is>
      </c>
      <c r="D20" s="34" t="inlineStr">
        <is>
          <t>Forecast $ − plan $. Positive is a cost overrun vs the original plan.</t>
        </is>
      </c>
    </row>
    <row r="21" ht="36" customHeight="1">
      <c r="B21" s="15" t="inlineStr">
        <is>
          <t>FY cost bridge</t>
        </is>
      </c>
      <c r="C21" s="22" t="inlineStr">
        <is>
          <t>03_Cost_Bridge</t>
        </is>
      </c>
      <c r="D21" s="34" t="inlineStr">
        <is>
          <t>Opening run-rate + merit on the base + in-year volume/mix/timing plug, tying to plan FY $.</t>
        </is>
      </c>
    </row>
    <row r="22" ht="36" customHeight="1">
      <c r="B22" s="15" t="inlineStr">
        <is>
          <t>Month status</t>
        </is>
      </c>
      <c r="C22" s="22" t="inlineStr">
        <is>
          <t>04_Reforecast</t>
        </is>
      </c>
      <c r="D22" s="34" t="inlineStr">
        <is>
          <t>Actual if month ≤ as-of, else Forecast.</t>
        </is>
      </c>
    </row>
    <row r="23" ht="36" customHeight="1">
      <c r="B23" s="15" t="inlineStr">
        <is>
          <t>Units</t>
        </is>
      </c>
      <c r="C23" s="22" t="inlineStr">
        <is>
          <t>All</t>
        </is>
      </c>
      <c r="D23" s="34" t="inlineStr">
        <is>
          <t>FTE in heads (one decimal). Cost in $000s. Rates in %.</t>
        </is>
      </c>
    </row>
    <row r="26">
      <c r="B26" s="10" t="inlineStr">
        <is>
          <t>All sample numbers are fictional. Built for a public GitHub portfolio — no employer data.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2026-09-02T01:17:48Z</dcterms:created>
  <dcterms:modified xsi:type="dcterms:W3CDTF">2026-09-02T01:17:48Z</dcterms:modified>
</cp:coreProperties>
</file>